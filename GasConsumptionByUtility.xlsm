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8.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drawings/drawing9.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hidePivotFieldList="1"/>
  <mc:AlternateContent xmlns:mc="http://schemas.openxmlformats.org/markup-compatibility/2006">
    <mc:Choice Requires="x15">
      <x15ac:absPath xmlns:x15ac="http://schemas.microsoft.com/office/spreadsheetml/2010/11/ac" url="C:\Users\Tyler Locke\Documents\All OtherDocs\Career\SCE\SampleExcelProject\"/>
    </mc:Choice>
  </mc:AlternateContent>
  <xr:revisionPtr revIDLastSave="0" documentId="13_ncr:1_{C96319DE-8C23-4490-9AFC-A0DF1DB475BF}" xr6:coauthVersionLast="40" xr6:coauthVersionMax="40" xr10:uidLastSave="{00000000-0000-0000-0000-000000000000}"/>
  <bookViews>
    <workbookView xWindow="-120" yWindow="-120" windowWidth="20730" windowHeight="11160" xr2:uid="{00000000-000D-0000-FFFF-FFFF00000000}"/>
  </bookViews>
  <sheets>
    <sheet name="START_HERE&gt;DASHBOARD" sheetId="4" r:id="rId1"/>
    <sheet name="Data" sheetId="1" r:id="rId2"/>
    <sheet name="SpecUtilityData" sheetId="13" r:id="rId3"/>
    <sheet name="Efficiency_Project_Calcs" sheetId="14" r:id="rId4"/>
    <sheet name="Rates" sheetId="15" r:id="rId5"/>
    <sheet name="PivotTable1" sheetId="3" state="hidden" r:id="rId6"/>
    <sheet name="PivotTable2" sheetId="5" state="hidden" r:id="rId7"/>
    <sheet name="PivotTable3" sheetId="6" state="hidden" r:id="rId8"/>
    <sheet name="PivotTable4" sheetId="8" state="hidden" r:id="rId9"/>
    <sheet name="TimeSeries" sheetId="11" state="hidden" r:id="rId10"/>
    <sheet name="Proposal" sheetId="16" r:id="rId11"/>
    <sheet name="Appendix A.&lt;dont disturb&gt;" sheetId="12" r:id="rId12"/>
  </sheets>
  <externalReferences>
    <externalReference r:id="rId13"/>
  </externalReferences>
  <definedNames>
    <definedName name="_xlnm._FilterDatabase" localSheetId="1" hidden="1">Data!$A$4:$J$628</definedName>
    <definedName name="blah">Efficiency_Project_Calcs!$F$73:$J$92</definedName>
    <definedName name="boiler_efficiency">Efficiency_Project_Calcs!$I$29</definedName>
    <definedName name="boiler_temp_in">Efficiency_Project_Calcs!#REF!</definedName>
    <definedName name="boiler_temp_out">Efficiency_Project_Calcs!$K$29</definedName>
    <definedName name="Discount_Rate">Rates!$X$3</definedName>
    <definedName name="Domestics.FixtureTypes">Efficiency_Project_Calcs!$N$25:$N$44</definedName>
    <definedName name="Domestics.Table01_CountsBySurvey_Totals">Efficiency_Project_Calcs!$F$25:$F$41</definedName>
    <definedName name="Domestics.Table01_FixtureType">Efficiency_Project_Calcs!$C$27:$C$41</definedName>
    <definedName name="Domestics.Table02_CountsByTakeoff">Efficiency_Project_Calcs!$Q$25:$X$44</definedName>
    <definedName name="Domestics.Table04_AnnualUseBefore">Efficiency_Project_Calcs!$F$49:$J$68</definedName>
    <definedName name="Domestics.Table05_AnnualUseAfter">Efficiency_Project_Calcs!$Q$49:$X$68</definedName>
    <definedName name="Domestics.Table06_AnnualSavingsKgal">Efficiency_Project_Calcs!$F$73:$J$92</definedName>
    <definedName name="Domestics.Table07_AnnualSavingsTherms">Efficiency_Project_Calcs!$Q$73:$X$92</definedName>
    <definedName name="Domestics.Table08_AnnualSavingsThermDollars">Efficiency_Project_Calcs!$Q$97:$X$116</definedName>
    <definedName name="Domestics.Table09_AnnualSavingsKgalDollars">Efficiency_Project_Calcs!$F$97:$J$116</definedName>
    <definedName name="Domestics.Table10_InstallationCost">Efficiency_Project_Calcs!$F$122:$I$139</definedName>
    <definedName name="Domestics.TotalColumn">Efficiency_Project_Calcs!$X$22</definedName>
    <definedName name="gas_company">[1]Stakeholders!$F$4</definedName>
    <definedName name="incentive_gas">Rates!#REF!</definedName>
    <definedName name="incentive_per_therm">Rates!#REF!</definedName>
    <definedName name="incentive_therm">Rates!$AC$24</definedName>
    <definedName name="InstallationProposal.PreTaxProjectTotal">[1]InstallProp!$L$51</definedName>
    <definedName name="InstallationProposal.ProjectTotal">Proposal!$N$19</definedName>
    <definedName name="InstallProp.Include_in_Prop">Proposal!$AF$3:$AF$13</definedName>
    <definedName name="POC_title">[1]Stakeholders!$C$9</definedName>
    <definedName name="PriceList.PriceList">[1]PriceList!$E$4:$N$24</definedName>
    <definedName name="Rebates.cost_per_therm">Rates!#REF!</definedName>
    <definedName name="Rebates.GasCompany">[1]Rebates!$I$31</definedName>
    <definedName name="Rebates.WaterPurveyor">[1]Rebates!$K$31</definedName>
    <definedName name="Rebates.WaterWholesaler">[1]Rebates!$J$31</definedName>
    <definedName name="sales_contact">[1]Stakeholders!$G$8</definedName>
    <definedName name="sales_contact_title">[1]Stakeholders!$G$9</definedName>
    <definedName name="Sales_Tax">Rates!$X$2</definedName>
    <definedName name="SCG_estimate_of_therms_saved_annually">Rates!$N$36</definedName>
    <definedName name="sinks_SSLPN">1</definedName>
    <definedName name="Slicer_Utility_Name">#N/A</definedName>
    <definedName name="Slicer_Utility_Type">#N/A</definedName>
    <definedName name="Slicer_Year">#N/A</definedName>
    <definedName name="Stakeholders.ClientName">[1]Stakeholders!$C$4</definedName>
    <definedName name="Stakeholders.ClientPOC">[1]Stakeholders!$C$8</definedName>
    <definedName name="Takeoffs.FixtureCountsBySubtype">[1]Takeoffs!$P$5:$P$41</definedName>
    <definedName name="Takeoffs.Header2">[1]Takeoffs!$C$5:$C$41</definedName>
    <definedName name="tax_rate">[1]UsageParams!$K$2</definedName>
    <definedName name="therm_cost">Efficiency_Project_Calcs!$Q$18</definedName>
    <definedName name="therm_factor">Efficiency_Project_Calcs!$O$18</definedName>
    <definedName name="UsageParams.ECMFlow">[1]UsageParams!$F$4:$F$25</definedName>
    <definedName name="UsageParams.FixtureType">[1]UsageParams!$B$4:$B$25</definedName>
    <definedName name="UsageParams.ThermFactor">[1]UsageParams!$P$29</definedName>
    <definedName name="UsageParams.ToiletDualFlushFlows">[1]UsageParams!$F$13:$F$15</definedName>
    <definedName name="UsageParams.UrinalHalfFlushlFlows">[1]UsageParams!$F$18:$F$20</definedName>
    <definedName name="water_purveyer">[1]Stakeholders!$E$4</definedName>
    <definedName name="water_sewer_rate">Rates!$L$7</definedName>
    <definedName name="water_wholesaler">[1]Stakeholders!$D$4</definedName>
  </definedNames>
  <calcPr calcId="191029" iterateDelta="9.9999999999994451E-4"/>
  <pivotCaches>
    <pivotCache cacheId="0" r:id="rId14"/>
  </pivotCaches>
  <extLs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11" i="16" l="1"/>
  <c r="G10" i="16"/>
  <c r="G9" i="16"/>
  <c r="B10" i="14"/>
  <c r="B9" i="14"/>
  <c r="G9" i="14" s="1"/>
  <c r="B8" i="14"/>
  <c r="J15" i="16" s="1"/>
  <c r="B7" i="14"/>
  <c r="G7" i="14" s="1"/>
  <c r="R10" i="16"/>
  <c r="R11" i="16"/>
  <c r="U7" i="16"/>
  <c r="V7" i="16"/>
  <c r="T7" i="15"/>
  <c r="F10" i="16"/>
  <c r="R14" i="15"/>
  <c r="X14" i="15" s="1"/>
  <c r="S13" i="15"/>
  <c r="F9" i="16"/>
  <c r="B6" i="16"/>
  <c r="B4" i="16"/>
  <c r="J16" i="16"/>
  <c r="J17" i="16"/>
  <c r="H17" i="16"/>
  <c r="U7" i="15"/>
  <c r="Q7" i="15"/>
  <c r="I15" i="16"/>
  <c r="I16" i="16"/>
  <c r="I17" i="16"/>
  <c r="I14" i="16"/>
  <c r="H16" i="16"/>
  <c r="H15" i="16"/>
  <c r="H14" i="16"/>
  <c r="X12" i="15"/>
  <c r="W12" i="15"/>
  <c r="V12" i="15"/>
  <c r="U12" i="15"/>
  <c r="T12" i="15"/>
  <c r="S12" i="15"/>
  <c r="AC11" i="15"/>
  <c r="K27" i="16"/>
  <c r="J18" i="16"/>
  <c r="K18" i="16" s="1"/>
  <c r="C18" i="16"/>
  <c r="P4" i="16"/>
  <c r="D2" i="14"/>
  <c r="U6" i="15"/>
  <c r="T6" i="15"/>
  <c r="Q6" i="15"/>
  <c r="U5" i="15"/>
  <c r="T5" i="15"/>
  <c r="Q5" i="15"/>
  <c r="U4" i="15"/>
  <c r="T4" i="15"/>
  <c r="Q4" i="15"/>
  <c r="G8" i="14"/>
  <c r="G10" i="14"/>
  <c r="F9" i="14"/>
  <c r="F10" i="14"/>
  <c r="B19" i="14" s="1"/>
  <c r="O18" i="14"/>
  <c r="G214" i="15"/>
  <c r="G211" i="15"/>
  <c r="G208" i="15"/>
  <c r="G205" i="15"/>
  <c r="G202" i="15"/>
  <c r="G199" i="15"/>
  <c r="G196" i="15"/>
  <c r="G193" i="15"/>
  <c r="E188" i="15"/>
  <c r="H188" i="15" s="1"/>
  <c r="G187" i="15"/>
  <c r="G186" i="15"/>
  <c r="E185" i="15"/>
  <c r="H185" i="15" s="1"/>
  <c r="G184" i="15"/>
  <c r="G183" i="15"/>
  <c r="E182" i="15"/>
  <c r="H182" i="15" s="1"/>
  <c r="G181" i="15"/>
  <c r="G180" i="15"/>
  <c r="E179" i="15"/>
  <c r="H179" i="15" s="1"/>
  <c r="G178" i="15"/>
  <c r="G177" i="15"/>
  <c r="E176" i="15"/>
  <c r="H176" i="15" s="1"/>
  <c r="G175" i="15"/>
  <c r="G174" i="15"/>
  <c r="E173" i="15"/>
  <c r="H173" i="15" s="1"/>
  <c r="G172" i="15"/>
  <c r="G171" i="15"/>
  <c r="E170" i="15"/>
  <c r="H170" i="15" s="1"/>
  <c r="G169" i="15"/>
  <c r="G168" i="15"/>
  <c r="E167" i="15"/>
  <c r="H167" i="15" s="1"/>
  <c r="G166" i="15"/>
  <c r="G165" i="15"/>
  <c r="E161" i="15"/>
  <c r="H161" i="15" s="1"/>
  <c r="G160" i="15"/>
  <c r="G159" i="15"/>
  <c r="E158" i="15"/>
  <c r="H158" i="15" s="1"/>
  <c r="G157" i="15"/>
  <c r="G156" i="15"/>
  <c r="E155" i="15"/>
  <c r="H155" i="15" s="1"/>
  <c r="G154" i="15"/>
  <c r="G153" i="15"/>
  <c r="E152" i="15"/>
  <c r="H152" i="15" s="1"/>
  <c r="G151" i="15"/>
  <c r="G150" i="15"/>
  <c r="E149" i="15"/>
  <c r="H149" i="15" s="1"/>
  <c r="G148" i="15"/>
  <c r="G147" i="15"/>
  <c r="E146" i="15"/>
  <c r="H146" i="15" s="1"/>
  <c r="G145" i="15"/>
  <c r="G144" i="15"/>
  <c r="E143" i="15"/>
  <c r="H143" i="15" s="1"/>
  <c r="G142" i="15"/>
  <c r="G141" i="15"/>
  <c r="E140" i="15"/>
  <c r="H140" i="15" s="1"/>
  <c r="G139" i="15"/>
  <c r="G138" i="15"/>
  <c r="E134" i="15"/>
  <c r="H134" i="15" s="1"/>
  <c r="G133" i="15"/>
  <c r="G132" i="15"/>
  <c r="E131" i="15"/>
  <c r="H131" i="15" s="1"/>
  <c r="G130" i="15"/>
  <c r="G129" i="15"/>
  <c r="E128" i="15"/>
  <c r="H128" i="15" s="1"/>
  <c r="G127" i="15"/>
  <c r="G126" i="15"/>
  <c r="E125" i="15"/>
  <c r="H125" i="15" s="1"/>
  <c r="G124" i="15"/>
  <c r="G123" i="15"/>
  <c r="E122" i="15"/>
  <c r="H122" i="15" s="1"/>
  <c r="G121" i="15"/>
  <c r="G120" i="15"/>
  <c r="E119" i="15"/>
  <c r="H119" i="15" s="1"/>
  <c r="G118" i="15"/>
  <c r="G117" i="15"/>
  <c r="E116" i="15"/>
  <c r="H116" i="15" s="1"/>
  <c r="G115" i="15"/>
  <c r="G114" i="15"/>
  <c r="E113" i="15"/>
  <c r="H113" i="15" s="1"/>
  <c r="G112" i="15"/>
  <c r="G111" i="15"/>
  <c r="E107" i="15"/>
  <c r="H107" i="15" s="1"/>
  <c r="G106" i="15"/>
  <c r="G105" i="15"/>
  <c r="E104" i="15"/>
  <c r="H104" i="15" s="1"/>
  <c r="G103" i="15"/>
  <c r="G102" i="15"/>
  <c r="E101" i="15"/>
  <c r="H101" i="15" s="1"/>
  <c r="G100" i="15"/>
  <c r="G99" i="15"/>
  <c r="E98" i="15"/>
  <c r="H98" i="15" s="1"/>
  <c r="G97" i="15"/>
  <c r="G96" i="15"/>
  <c r="E95" i="15"/>
  <c r="H95" i="15" s="1"/>
  <c r="G94" i="15"/>
  <c r="G93" i="15"/>
  <c r="E92" i="15"/>
  <c r="H92" i="15" s="1"/>
  <c r="G91" i="15"/>
  <c r="G90" i="15"/>
  <c r="E89" i="15"/>
  <c r="H89" i="15" s="1"/>
  <c r="G88" i="15"/>
  <c r="G87" i="15"/>
  <c r="E86" i="15"/>
  <c r="H86" i="15" s="1"/>
  <c r="G85" i="15"/>
  <c r="G84" i="15"/>
  <c r="E80" i="15"/>
  <c r="H80" i="15" s="1"/>
  <c r="G79" i="15"/>
  <c r="G78" i="15"/>
  <c r="E77" i="15"/>
  <c r="H77" i="15" s="1"/>
  <c r="G76" i="15"/>
  <c r="G75" i="15"/>
  <c r="E74" i="15"/>
  <c r="H74" i="15" s="1"/>
  <c r="G73" i="15"/>
  <c r="G72" i="15"/>
  <c r="E71" i="15"/>
  <c r="H71" i="15" s="1"/>
  <c r="G70" i="15"/>
  <c r="G69" i="15"/>
  <c r="E68" i="15"/>
  <c r="H68" i="15" s="1"/>
  <c r="G67" i="15"/>
  <c r="G66" i="15"/>
  <c r="E65" i="15"/>
  <c r="H65" i="15" s="1"/>
  <c r="G64" i="15"/>
  <c r="G63" i="15"/>
  <c r="E62" i="15"/>
  <c r="H62" i="15" s="1"/>
  <c r="G61" i="15"/>
  <c r="G60" i="15"/>
  <c r="E59" i="15"/>
  <c r="H59" i="15" s="1"/>
  <c r="G58" i="15"/>
  <c r="G57" i="15"/>
  <c r="E53" i="15"/>
  <c r="H53" i="15" s="1"/>
  <c r="G52" i="15"/>
  <c r="G51" i="15"/>
  <c r="E50" i="15"/>
  <c r="H50" i="15" s="1"/>
  <c r="G49" i="15"/>
  <c r="G48" i="15"/>
  <c r="E47" i="15"/>
  <c r="H47" i="15" s="1"/>
  <c r="G46" i="15"/>
  <c r="G45" i="15"/>
  <c r="E44" i="15"/>
  <c r="H44" i="15" s="1"/>
  <c r="G43" i="15"/>
  <c r="G42" i="15"/>
  <c r="E41" i="15"/>
  <c r="H41" i="15" s="1"/>
  <c r="G40" i="15"/>
  <c r="G39" i="15"/>
  <c r="E38" i="15"/>
  <c r="H38" i="15" s="1"/>
  <c r="G37" i="15"/>
  <c r="G36" i="15"/>
  <c r="E35" i="15"/>
  <c r="H35" i="15" s="1"/>
  <c r="G34" i="15"/>
  <c r="G33" i="15"/>
  <c r="E32" i="15"/>
  <c r="H32" i="15" s="1"/>
  <c r="G31" i="15"/>
  <c r="G30" i="15"/>
  <c r="E26" i="15"/>
  <c r="H26" i="15" s="1"/>
  <c r="G25" i="15"/>
  <c r="G24" i="15"/>
  <c r="E23" i="15"/>
  <c r="G22" i="15"/>
  <c r="G21" i="15"/>
  <c r="E20" i="15"/>
  <c r="G19" i="15"/>
  <c r="G18" i="15"/>
  <c r="E17" i="15"/>
  <c r="G16" i="15"/>
  <c r="G15" i="15"/>
  <c r="E14" i="15"/>
  <c r="H14" i="15" s="1"/>
  <c r="G13" i="15"/>
  <c r="L6" i="15"/>
  <c r="G12" i="15"/>
  <c r="L5" i="15"/>
  <c r="E11" i="15"/>
  <c r="G10" i="15"/>
  <c r="G9" i="15"/>
  <c r="E8" i="15"/>
  <c r="G7" i="15"/>
  <c r="G6" i="15"/>
  <c r="E5" i="15"/>
  <c r="G4" i="15"/>
  <c r="G3" i="15"/>
  <c r="R13" i="15" l="1"/>
  <c r="X13" i="15" s="1"/>
  <c r="J14" i="16"/>
  <c r="F7" i="14"/>
  <c r="B16" i="14" s="1"/>
  <c r="Z13" i="15" s="1"/>
  <c r="B11" i="14"/>
  <c r="B18" i="14"/>
  <c r="F8" i="14"/>
  <c r="B17" i="14" s="1"/>
  <c r="Z14" i="15" s="1"/>
  <c r="G11" i="14"/>
  <c r="K14" i="16"/>
  <c r="X15" i="15"/>
  <c r="N22" i="16" s="1"/>
  <c r="V13" i="15"/>
  <c r="W13" i="15"/>
  <c r="W14" i="15"/>
  <c r="V7" i="15"/>
  <c r="V14" i="15"/>
  <c r="K16" i="16"/>
  <c r="K15" i="16"/>
  <c r="M15" i="16"/>
  <c r="M14" i="16"/>
  <c r="M17" i="16"/>
  <c r="K17" i="16"/>
  <c r="M18" i="16"/>
  <c r="M16" i="16"/>
  <c r="L7" i="15"/>
  <c r="D19" i="14" s="1"/>
  <c r="V5" i="15"/>
  <c r="V4" i="15"/>
  <c r="R15" i="15"/>
  <c r="F11" i="14"/>
  <c r="D18" i="14"/>
  <c r="C18" i="14"/>
  <c r="E18" i="14" s="1"/>
  <c r="C17" i="14"/>
  <c r="C19" i="14"/>
  <c r="E19" i="14" s="1"/>
  <c r="V6" i="15"/>
  <c r="H5" i="15"/>
  <c r="H17" i="15"/>
  <c r="H20" i="15"/>
  <c r="H8" i="15"/>
  <c r="H11" i="15"/>
  <c r="H23" i="15"/>
  <c r="N14" i="16" l="1"/>
  <c r="Z15" i="15"/>
  <c r="AC17" i="15"/>
  <c r="W15" i="15"/>
  <c r="N21" i="16" s="1"/>
  <c r="E17" i="14"/>
  <c r="AA14" i="15"/>
  <c r="Y14" i="15"/>
  <c r="V15" i="15"/>
  <c r="N20" i="16" s="1"/>
  <c r="Y13" i="15"/>
  <c r="N16" i="16"/>
  <c r="N17" i="16"/>
  <c r="N15" i="16"/>
  <c r="D17" i="14"/>
  <c r="C16" i="14"/>
  <c r="AA13" i="15" s="1"/>
  <c r="B20" i="14"/>
  <c r="D16" i="14"/>
  <c r="N19" i="16" l="1"/>
  <c r="S6" i="16" s="1"/>
  <c r="S7" i="16" s="1"/>
  <c r="Y15" i="15"/>
  <c r="AB14" i="15"/>
  <c r="AC14" i="15"/>
  <c r="D20" i="14"/>
  <c r="AC13" i="15"/>
  <c r="AB13" i="15"/>
  <c r="AA15" i="15"/>
  <c r="E16" i="14"/>
  <c r="E20" i="14" s="1"/>
  <c r="C20" i="14"/>
  <c r="E9" i="16" l="1"/>
  <c r="S10" i="16"/>
  <c r="AB15" i="15"/>
  <c r="N23" i="16"/>
  <c r="T6" i="16"/>
  <c r="E10" i="16"/>
  <c r="T7" i="16" l="1"/>
  <c r="S8" i="16" s="1"/>
  <c r="H8" i="16" s="1"/>
  <c r="S9" i="16"/>
  <c r="M8" i="1"/>
  <c r="N8" i="1" s="1"/>
  <c r="M7" i="1"/>
  <c r="N7" i="1" s="1"/>
  <c r="M6" i="1"/>
  <c r="N6" i="1" s="1"/>
  <c r="M5" i="1"/>
  <c r="N5" i="1" s="1"/>
  <c r="AC15" i="15" l="1"/>
  <c r="AC18" i="15" s="1"/>
  <c r="AC19" i="15" s="1"/>
</calcChain>
</file>

<file path=xl/sharedStrings.xml><?xml version="1.0" encoding="utf-8"?>
<sst xmlns="http://schemas.openxmlformats.org/spreadsheetml/2006/main" count="2652" uniqueCount="222">
  <si>
    <t>Utility Type</t>
  </si>
  <si>
    <t>Producer/Marketer</t>
  </si>
  <si>
    <t>Unknown</t>
  </si>
  <si>
    <t>Investor owned utility</t>
  </si>
  <si>
    <t>Publicly owned utility</t>
  </si>
  <si>
    <t>Western Area Power Agency</t>
  </si>
  <si>
    <t>Utility Name</t>
  </si>
  <si>
    <t>Aera Energy</t>
  </si>
  <si>
    <t>ARCO Western Energy</t>
  </si>
  <si>
    <t>Arkoma Prod Co Of Calif</t>
  </si>
  <si>
    <t>Avista Energy</t>
  </si>
  <si>
    <t>Bakersfield Energy Resources, Inc.</t>
  </si>
  <si>
    <t>California Resources Elk Hills (CREH)</t>
  </si>
  <si>
    <t>Campora Wholesale Propane, Inc.</t>
  </si>
  <si>
    <t>Capitol Oil Corp.</t>
  </si>
  <si>
    <t>Chevron USA Inc.</t>
  </si>
  <si>
    <t>Cinta Oil Company</t>
  </si>
  <si>
    <t>City of Coalinga</t>
  </si>
  <si>
    <t>Coastal Oil &amp; Gas Corp.</t>
  </si>
  <si>
    <t>Conoco, Inc</t>
  </si>
  <si>
    <t>Crest Oil Co.</t>
  </si>
  <si>
    <t>Deklab Energy Co</t>
  </si>
  <si>
    <t>Fortune Petroleum, Inc.</t>
  </si>
  <si>
    <t>Four Star Oil &amp; Gas Co. (aka Texaco)</t>
  </si>
  <si>
    <t>H. T. Hilliard &amp; Co.</t>
  </si>
  <si>
    <t>Kelt Oil &amp; Gas Co.</t>
  </si>
  <si>
    <t>Long Beach Gas Department</t>
  </si>
  <si>
    <t>Mentren Corp</t>
  </si>
  <si>
    <t>MOBIL Oil Corp</t>
  </si>
  <si>
    <t>Nahama &amp; Weagan Ener Co.</t>
  </si>
  <si>
    <t>Naval Petroleum Reserve</t>
  </si>
  <si>
    <t>no name</t>
  </si>
  <si>
    <t>Oryx Energy Co.</t>
  </si>
  <si>
    <t>OXY USA, Inc.</t>
  </si>
  <si>
    <t>Pacific Gas and Electric Company</t>
  </si>
  <si>
    <t>Palo Alto, City of, Utilities Department</t>
  </si>
  <si>
    <t>Phillips Petroleum Co.</t>
  </si>
  <si>
    <t>Quintana Petroleum</t>
  </si>
  <si>
    <t>Sage Energy Co.</t>
  </si>
  <si>
    <t>San Diego Gas and Electric Company</t>
  </si>
  <si>
    <t>Seneca Resources Corp</t>
  </si>
  <si>
    <t>Southern California Gas Company</t>
  </si>
  <si>
    <t>Texaco Expl &amp; Prod Inc.</t>
  </si>
  <si>
    <t>Texaco/Getty</t>
  </si>
  <si>
    <t>THUMS Long Beach</t>
  </si>
  <si>
    <t>Tidelands Oil Production Co.</t>
  </si>
  <si>
    <t>Triton Oil and Gas Corp</t>
  </si>
  <si>
    <t>Unocal Corporation, Accounting Center</t>
  </si>
  <si>
    <t>Venada National Oil and Gas Exploration</t>
  </si>
  <si>
    <t>Western Continental Operating Co.</t>
  </si>
  <si>
    <t>McGill &amp; Shepard</t>
  </si>
  <si>
    <t>PG&amp;E Resources Co.</t>
  </si>
  <si>
    <t>Atlantic Oil Company</t>
  </si>
  <si>
    <t>E &amp; B Natural Resources</t>
  </si>
  <si>
    <t>Petrotech Resources Co.</t>
  </si>
  <si>
    <t>Vern Jones Oil &amp; Gas Corp.</t>
  </si>
  <si>
    <t>Donald C. Slawson Expl. Co., Inc.</t>
  </si>
  <si>
    <t>Monterey Resources, Inc.</t>
  </si>
  <si>
    <t>Nuevo Energy (Torch Operating Company)</t>
  </si>
  <si>
    <t>EOG Resources, Inc.</t>
  </si>
  <si>
    <t>Petersen Production Co., LLC.</t>
  </si>
  <si>
    <t>Samedan Oil Corp.</t>
  </si>
  <si>
    <t>Stocker Resources Inc.</t>
  </si>
  <si>
    <t>Texaco (McFarland)</t>
  </si>
  <si>
    <t>Towne Exploration Company</t>
  </si>
  <si>
    <t>Tri-Valley Oil &amp; Gas Co.</t>
  </si>
  <si>
    <t>Tuscarora Gas Transmission Company</t>
  </si>
  <si>
    <t>Williams Energy Service</t>
  </si>
  <si>
    <t>Aspen Exploration Corporation</t>
  </si>
  <si>
    <t>BreitBurn Energy Company LLC</t>
  </si>
  <si>
    <t>Calpine Gas Company</t>
  </si>
  <si>
    <t>J.P. Oil Company, Inc.</t>
  </si>
  <si>
    <t>Stream Energy Inc.</t>
  </si>
  <si>
    <t>Crimson Resource Management</t>
  </si>
  <si>
    <t>Lib Power Holdings LLC</t>
  </si>
  <si>
    <t>Pittsburg, City of (dba Island Energy on Mare Island)</t>
  </si>
  <si>
    <t>City of Susanville</t>
  </si>
  <si>
    <t>Vernon, City of</t>
  </si>
  <si>
    <t>Southwest Gas Corporation</t>
  </si>
  <si>
    <t>Gas Producer</t>
  </si>
  <si>
    <t>Year</t>
  </si>
  <si>
    <t>Ag &amp; Water Pump</t>
  </si>
  <si>
    <t>Commercial Building</t>
  </si>
  <si>
    <t>Commercial Other</t>
  </si>
  <si>
    <t>Industry</t>
  </si>
  <si>
    <t>Mining &amp; Construction</t>
  </si>
  <si>
    <t>Residential</t>
  </si>
  <si>
    <t>Total Usage</t>
  </si>
  <si>
    <t>Row Labels</t>
  </si>
  <si>
    <t>Grand Total</t>
  </si>
  <si>
    <t>Sum of Industry</t>
  </si>
  <si>
    <t>(All)</t>
  </si>
  <si>
    <t>Sum of Commercial Building</t>
  </si>
  <si>
    <t>Sum of Ag &amp; Water Pump</t>
  </si>
  <si>
    <t>Sum of Mining &amp; Construction</t>
  </si>
  <si>
    <t>Count of Commercial Building</t>
  </si>
  <si>
    <t>&lt;50</t>
  </si>
  <si>
    <t>50-150</t>
  </si>
  <si>
    <t>150-250</t>
  </si>
  <si>
    <t>650-750</t>
  </si>
  <si>
    <t>750-850</t>
  </si>
  <si>
    <t>850-950</t>
  </si>
  <si>
    <t>Count of Utility Name</t>
  </si>
  <si>
    <t>Natural gas consumption in Millions of Therms by utility. Source: http://www.ecdms.energy.ca.gov/gasbyutil.aspx</t>
  </si>
  <si>
    <t>Utility Names</t>
  </si>
  <si>
    <t xml:space="preserve">Industry </t>
  </si>
  <si>
    <t>Max Values</t>
  </si>
  <si>
    <t>Utility</t>
  </si>
  <si>
    <t>Data Maximums</t>
  </si>
  <si>
    <t>Acct #</t>
  </si>
  <si>
    <t>Service Begin Date</t>
  </si>
  <si>
    <t>Service Type</t>
  </si>
  <si>
    <t>Service Description</t>
  </si>
  <si>
    <t>Usage</t>
  </si>
  <si>
    <t>UOM</t>
  </si>
  <si>
    <t>Cost</t>
  </si>
  <si>
    <t>Rate</t>
  </si>
  <si>
    <t>Location Address 1</t>
  </si>
  <si>
    <t>Meter #</t>
  </si>
  <si>
    <t>Meter Size</t>
  </si>
  <si>
    <t>Water</t>
  </si>
  <si>
    <t>fee</t>
  </si>
  <si>
    <t>ccf</t>
  </si>
  <si>
    <t>usage</t>
  </si>
  <si>
    <t>Sewer</t>
  </si>
  <si>
    <t>sum</t>
  </si>
  <si>
    <t>Water Rate from bill, $/ccf</t>
  </si>
  <si>
    <t>Sewer Rate from bill, $/ccf</t>
  </si>
  <si>
    <t>Water Rate, $/kgal</t>
  </si>
  <si>
    <t>Sewer Rate, $/kgal</t>
  </si>
  <si>
    <t>Water-Sewer Rate, $/kgal</t>
  </si>
  <si>
    <t>Address</t>
  </si>
  <si>
    <t>Accnt#</t>
  </si>
  <si>
    <t>Sink</t>
  </si>
  <si>
    <t>Shower</t>
  </si>
  <si>
    <t>Toilet</t>
  </si>
  <si>
    <t>Urinal</t>
  </si>
  <si>
    <t>Total</t>
  </si>
  <si>
    <t>Total Counts</t>
  </si>
  <si>
    <t>where</t>
  </si>
  <si>
    <t>Therm Factor</t>
  </si>
  <si>
    <t>We calculate annual therms saved with this formula:</t>
  </si>
  <si>
    <t>Climate Zone Ground Water Temp</t>
  </si>
  <si>
    <t>Boiler Efficiency</t>
  </si>
  <si>
    <t>Boiler Temp</t>
  </si>
  <si>
    <t>The formula is derived as follows:</t>
  </si>
  <si>
    <t>ECM Flow Rate
 (gpm or gpf)</t>
  </si>
  <si>
    <t>BFA Flow Rate 
(gpm or gpf)</t>
  </si>
  <si>
    <t>Daily Use 
(mpd or fpd)</t>
  </si>
  <si>
    <t xml:space="preserve">Water Cost Savings
($) </t>
  </si>
  <si>
    <t>Therm Cost Savings
($)</t>
  </si>
  <si>
    <t xml:space="preserve">Therm 
Savings 
</t>
  </si>
  <si>
    <t>Cost Per Therm</t>
  </si>
  <si>
    <t>Annual Usage</t>
  </si>
  <si>
    <t>Fixture Type</t>
  </si>
  <si>
    <t>Fixture Subtype</t>
  </si>
  <si>
    <t>Fixture Key</t>
  </si>
  <si>
    <t>Installation Prices</t>
  </si>
  <si>
    <t>Labor</t>
  </si>
  <si>
    <t>Material</t>
  </si>
  <si>
    <t>L&amp;M</t>
  </si>
  <si>
    <t>Tax</t>
  </si>
  <si>
    <t>Sales Tax</t>
  </si>
  <si>
    <t>Lookup by ZIP</t>
  </si>
  <si>
    <t>All Types</t>
  </si>
  <si>
    <t>Annual Use Before
Domestics (Kgal)</t>
  </si>
  <si>
    <t>Annual Use After
Domestics (Kgal)</t>
  </si>
  <si>
    <t>Water Savings 
Domestics (Kgal)</t>
  </si>
  <si>
    <t>Annual Water Usage</t>
  </si>
  <si>
    <t>Annual Savings</t>
  </si>
  <si>
    <t>Sales Tax &amp; Discount Rate</t>
  </si>
  <si>
    <t>Discount Rate</t>
  </si>
  <si>
    <t>Total 2017 Consumption 
(Millions of Therms)</t>
  </si>
  <si>
    <t xml:space="preserve">Total 2017 Therm Cost
</t>
  </si>
  <si>
    <t>Cash flow</t>
  </si>
  <si>
    <t xml:space="preserve">PV </t>
  </si>
  <si>
    <t>Net Present Value</t>
  </si>
  <si>
    <t>DATE</t>
  </si>
  <si>
    <t>CONTACT</t>
  </si>
  <si>
    <t>ANNUAL SAVINGS</t>
  </si>
  <si>
    <t xml:space="preserve">  </t>
  </si>
  <si>
    <t>Item Description</t>
  </si>
  <si>
    <t>Material Cost</t>
  </si>
  <si>
    <t>Labor Cost</t>
  </si>
  <si>
    <t>Qty</t>
  </si>
  <si>
    <t>Tax
(7.75%)</t>
  </si>
  <si>
    <t>PROJECT TOTAL</t>
  </si>
  <si>
    <t>PROJECT REPRESENTATIVE</t>
  </si>
  <si>
    <t>TITLE</t>
  </si>
  <si>
    <t>Facility</t>
  </si>
  <si>
    <t>REBATES</t>
  </si>
  <si>
    <t>Fixture Count</t>
  </si>
  <si>
    <t>Amount per Fixture</t>
  </si>
  <si>
    <t>Amount for All Fixtures</t>
  </si>
  <si>
    <t>Total per Subtype</t>
  </si>
  <si>
    <t>Annual Water &amp; Gas Savings</t>
  </si>
  <si>
    <t>Combined</t>
  </si>
  <si>
    <t>Kgal</t>
  </si>
  <si>
    <t>Therms</t>
  </si>
  <si>
    <t>Therm $</t>
  </si>
  <si>
    <t>Incentive</t>
  </si>
  <si>
    <t>Totals by Type</t>
  </si>
  <si>
    <t>50% of pre-tax project cost</t>
  </si>
  <si>
    <t>Allowed Incentive</t>
  </si>
  <si>
    <t>Remainder of project cost after gas incentive</t>
  </si>
  <si>
    <t>Incentive /Therm</t>
  </si>
  <si>
    <t>Sink Retrofit 0.5 gpm</t>
  </si>
  <si>
    <t>Shower Retrofit 1.5 gpm</t>
  </si>
  <si>
    <t>Toilet Retrofit 1.6 gpf</t>
  </si>
  <si>
    <t>Urinals Retrofit 0.5 gpf</t>
  </si>
  <si>
    <t>NET COST FOR THIS PROJECT</t>
  </si>
  <si>
    <t>Completed by</t>
  </si>
  <si>
    <t xml:space="preserve">Senior Financial Analyst </t>
  </si>
  <si>
    <t>Extended Cost</t>
  </si>
  <si>
    <t>Total Cost</t>
  </si>
  <si>
    <r>
      <t>SoCalGas Incentives</t>
    </r>
    <r>
      <rPr>
        <b/>
        <i/>
        <sz val="11"/>
        <color rgb="FF008000"/>
        <rFont val="Arial"/>
        <family val="2"/>
      </rPr>
      <t xml:space="preserve"> </t>
    </r>
  </si>
  <si>
    <t>Price List</t>
  </si>
  <si>
    <t>SoCal Gas Rebates</t>
  </si>
  <si>
    <t>MWD Rebates</t>
  </si>
  <si>
    <t>MWDOC Rebates</t>
  </si>
  <si>
    <t xml:space="preserve">IRR </t>
  </si>
  <si>
    <t>NPV &amp; IRR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</si>
</sst>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8" formatCode="&quot;$&quot;#,##0.00_);[Red]\(&quot;$&quot;#,##0.00\)"/>
    <numFmt numFmtId="44" formatCode="_(&quot;$&quot;* #,##0.00_);_(&quot;$&quot;* \(#,##0.00\);_(&quot;$&quot;* &quot;-&quot;??_);_(@_)"/>
    <numFmt numFmtId="43" formatCode="_(* #,##0.00_);_(* \(#,##0.00\);_(* &quot;-&quot;??_);_(@_)"/>
    <numFmt numFmtId="164" formatCode="\$#,##0.00;\(\$#,##0.00\);\$#,##0.00"/>
    <numFmt numFmtId="165" formatCode="&quot;$&quot;#,##0"/>
    <numFmt numFmtId="166" formatCode="&quot;$&quot;#,##0.00"/>
    <numFmt numFmtId="167" formatCode="0.00&quot;°F&quot;"/>
    <numFmt numFmtId="168" formatCode="0&quot;°F&quot;"/>
    <numFmt numFmtId="169" formatCode="0.0"/>
    <numFmt numFmtId="170" formatCode="_(* #,##0_);_(* \(#,##0\);_(* &quot;-&quot;??_);_(@_)"/>
    <numFmt numFmtId="171" formatCode="&quot;$&quot;#,##0.0000"/>
    <numFmt numFmtId="172" formatCode="0.00&quot; gpf&quot;"/>
    <numFmt numFmtId="173" formatCode="[&lt;=9999999]###\-####;\(###\)\ ###\-####"/>
    <numFmt numFmtId="174" formatCode="&quot;$&quot;#,##0.00;[Red]&quot;$&quot;#,##0.00;&quot;-&quot;"/>
    <numFmt numFmtId="175" formatCode="0;;&quot;-&quot;"/>
    <numFmt numFmtId="176" formatCode="0.000%"/>
  </numFmts>
  <fonts count="60" x14ac:knownFonts="1">
    <font>
      <sz val="11"/>
      <color theme="1"/>
      <name val="Calibri"/>
      <scheme val="minor"/>
    </font>
    <font>
      <sz val="11"/>
      <color theme="1"/>
      <name val="Calibri"/>
      <family val="2"/>
      <scheme val="minor"/>
    </font>
    <font>
      <b/>
      <sz val="11"/>
      <color theme="1"/>
      <name val="Calibri"/>
      <family val="2"/>
      <scheme val="minor"/>
    </font>
    <font>
      <b/>
      <sz val="14"/>
      <color theme="1"/>
      <name val="Calibri"/>
      <family val="2"/>
      <scheme val="minor"/>
    </font>
    <font>
      <sz val="11"/>
      <color rgb="FF000000"/>
      <name val="Calibri"/>
      <family val="2"/>
      <scheme val="minor"/>
    </font>
    <font>
      <sz val="11"/>
      <color theme="1"/>
      <name val="Calibri"/>
      <family val="2"/>
      <scheme val="minor"/>
    </font>
    <font>
      <sz val="11"/>
      <color rgb="FF006100"/>
      <name val="Calibri"/>
      <family val="2"/>
      <scheme val="minor"/>
    </font>
    <font>
      <b/>
      <sz val="11"/>
      <color theme="0"/>
      <name val="Calibri"/>
      <family val="2"/>
      <scheme val="minor"/>
    </font>
    <font>
      <sz val="10"/>
      <name val="Arial"/>
      <family val="2"/>
    </font>
    <font>
      <sz val="10"/>
      <name val="Calibri"/>
      <family val="2"/>
      <scheme val="minor"/>
    </font>
    <font>
      <b/>
      <sz val="10"/>
      <name val="Calibri"/>
      <family val="2"/>
      <scheme val="minor"/>
    </font>
    <font>
      <b/>
      <sz val="20"/>
      <name val="Calibri"/>
      <family val="2"/>
    </font>
    <font>
      <b/>
      <sz val="20"/>
      <color theme="1"/>
      <name val="Calibri"/>
      <family val="2"/>
    </font>
    <font>
      <sz val="10"/>
      <color rgb="FF000000"/>
      <name val="Calibri"/>
      <family val="2"/>
    </font>
    <font>
      <sz val="11"/>
      <color theme="1"/>
      <name val="Arial"/>
      <family val="2"/>
    </font>
    <font>
      <b/>
      <sz val="9"/>
      <color indexed="62"/>
      <name val="Calibri"/>
      <family val="2"/>
      <scheme val="minor"/>
    </font>
    <font>
      <sz val="10.5"/>
      <name val="Calibri"/>
      <family val="2"/>
      <scheme val="minor"/>
    </font>
    <font>
      <b/>
      <sz val="20"/>
      <color theme="1"/>
      <name val="Calibri"/>
      <family val="2"/>
      <scheme val="minor"/>
    </font>
    <font>
      <b/>
      <sz val="8"/>
      <name val="Calibri"/>
      <family val="2"/>
      <scheme val="minor"/>
    </font>
    <font>
      <u/>
      <sz val="11"/>
      <color theme="10"/>
      <name val="Calibri"/>
      <family val="2"/>
      <scheme val="minor"/>
    </font>
    <font>
      <u/>
      <sz val="12"/>
      <color theme="10"/>
      <name val="Calibri"/>
      <family val="2"/>
      <scheme val="minor"/>
    </font>
    <font>
      <b/>
      <sz val="10"/>
      <name val="Arial"/>
      <family val="2"/>
    </font>
    <font>
      <b/>
      <sz val="20"/>
      <name val="Arial"/>
      <family val="2"/>
    </font>
    <font>
      <sz val="20"/>
      <color theme="1"/>
      <name val="Calibri"/>
      <family val="2"/>
      <scheme val="minor"/>
    </font>
    <font>
      <b/>
      <sz val="20"/>
      <color theme="1"/>
      <name val="Arial"/>
      <family val="2"/>
    </font>
    <font>
      <b/>
      <sz val="10"/>
      <color indexed="17"/>
      <name val="Arial"/>
      <family val="2"/>
    </font>
    <font>
      <b/>
      <u/>
      <sz val="10"/>
      <color indexed="10"/>
      <name val="Arial"/>
      <family val="2"/>
    </font>
    <font>
      <b/>
      <sz val="14"/>
      <color rgb="FF000000"/>
      <name val="Calibri"/>
      <family val="2"/>
    </font>
    <font>
      <b/>
      <sz val="11"/>
      <color rgb="FF000000"/>
      <name val="Calibri"/>
      <family val="2"/>
    </font>
    <font>
      <b/>
      <sz val="10.5"/>
      <color rgb="FF000000"/>
      <name val="Calibri"/>
      <family val="2"/>
    </font>
    <font>
      <sz val="11"/>
      <name val="Calibri"/>
      <family val="2"/>
    </font>
    <font>
      <sz val="11"/>
      <color rgb="FF000000"/>
      <name val="Calibri"/>
      <family val="2"/>
    </font>
    <font>
      <sz val="11"/>
      <name val="Calibri"/>
      <family val="2"/>
      <scheme val="minor"/>
    </font>
    <font>
      <b/>
      <sz val="11"/>
      <color indexed="8"/>
      <name val="Calibri"/>
      <family val="2"/>
      <scheme val="minor"/>
    </font>
    <font>
      <sz val="11"/>
      <color indexed="8"/>
      <name val="Calibri"/>
      <family val="2"/>
      <scheme val="minor"/>
    </font>
    <font>
      <sz val="10"/>
      <color theme="0"/>
      <name val="Arial"/>
      <family val="2"/>
    </font>
    <font>
      <b/>
      <sz val="11"/>
      <name val="Calibri"/>
      <family val="2"/>
      <scheme val="minor"/>
    </font>
    <font>
      <sz val="8"/>
      <name val="Arial"/>
      <family val="2"/>
    </font>
    <font>
      <b/>
      <sz val="8"/>
      <color rgb="FF99CCFF"/>
      <name val="Calibri"/>
      <family val="2"/>
      <scheme val="minor"/>
    </font>
    <font>
      <sz val="11"/>
      <color rgb="FFFF0000"/>
      <name val="Calibri"/>
      <family val="2"/>
    </font>
    <font>
      <b/>
      <sz val="11"/>
      <name val="Calibri"/>
      <family val="2"/>
    </font>
    <font>
      <sz val="11"/>
      <color rgb="FF333333"/>
      <name val="Calibri"/>
      <family val="2"/>
    </font>
    <font>
      <i/>
      <sz val="11"/>
      <color rgb="FF000000"/>
      <name val="Calibri"/>
      <family val="2"/>
    </font>
    <font>
      <b/>
      <i/>
      <sz val="11"/>
      <color rgb="FF000000"/>
      <name val="Calibri"/>
      <family val="2"/>
    </font>
    <font>
      <b/>
      <sz val="11"/>
      <color rgb="FF969696"/>
      <name val="Calibri"/>
      <family val="2"/>
    </font>
    <font>
      <b/>
      <sz val="14"/>
      <color rgb="FF008000"/>
      <name val="Arial"/>
      <family val="2"/>
    </font>
    <font>
      <b/>
      <i/>
      <sz val="10"/>
      <color theme="3"/>
      <name val="Calibri"/>
      <family val="2"/>
      <scheme val="minor"/>
    </font>
    <font>
      <b/>
      <i/>
      <sz val="11"/>
      <color rgb="FF008000"/>
      <name val="Arial"/>
      <family val="2"/>
    </font>
    <font>
      <i/>
      <sz val="10"/>
      <name val="Calibri"/>
      <family val="2"/>
      <scheme val="minor"/>
    </font>
    <font>
      <i/>
      <sz val="9"/>
      <name val="Calibri"/>
      <family val="2"/>
      <scheme val="minor"/>
    </font>
    <font>
      <b/>
      <i/>
      <sz val="8"/>
      <name val="Calibri"/>
      <family val="2"/>
      <scheme val="minor"/>
    </font>
    <font>
      <b/>
      <sz val="11"/>
      <color theme="0"/>
      <name val="Calibri"/>
      <family val="2"/>
    </font>
    <font>
      <b/>
      <sz val="10.5"/>
      <color theme="0"/>
      <name val="Calibri"/>
      <family val="2"/>
    </font>
    <font>
      <b/>
      <sz val="9"/>
      <name val="Calibri"/>
      <family val="2"/>
      <scheme val="minor"/>
    </font>
    <font>
      <b/>
      <sz val="10"/>
      <color theme="0"/>
      <name val="Calibri"/>
      <family val="2"/>
      <scheme val="minor"/>
    </font>
    <font>
      <sz val="12"/>
      <color theme="0"/>
      <name val="Calibri"/>
      <family val="2"/>
      <scheme val="minor"/>
    </font>
    <font>
      <b/>
      <sz val="12"/>
      <color theme="0"/>
      <name val="Calibri"/>
      <family val="2"/>
      <scheme val="minor"/>
    </font>
    <font>
      <b/>
      <sz val="10"/>
      <color theme="0"/>
      <name val="Verdana"/>
      <family val="2"/>
    </font>
    <font>
      <sz val="10"/>
      <color theme="0"/>
      <name val="Calibri"/>
      <family val="2"/>
      <scheme val="minor"/>
    </font>
    <font>
      <b/>
      <sz val="10"/>
      <color theme="0"/>
      <name val="Calibri"/>
      <family val="2"/>
    </font>
  </fonts>
  <fills count="14">
    <fill>
      <patternFill patternType="none"/>
    </fill>
    <fill>
      <patternFill patternType="gray125"/>
    </fill>
    <fill>
      <patternFill patternType="solid">
        <fgColor theme="2"/>
        <bgColor indexed="64"/>
      </patternFill>
    </fill>
    <fill>
      <patternFill patternType="solid">
        <fgColor rgb="FFC6EFCE"/>
      </patternFill>
    </fill>
    <fill>
      <patternFill patternType="solid">
        <fgColor theme="0"/>
        <bgColor indexed="64"/>
      </patternFill>
    </fill>
    <fill>
      <patternFill patternType="solid">
        <fgColor rgb="FFFFFFFF"/>
        <bgColor rgb="FF000000"/>
      </patternFill>
    </fill>
    <fill>
      <patternFill patternType="solid">
        <fgColor rgb="FFFFFFCC"/>
        <bgColor indexed="64"/>
      </patternFill>
    </fill>
    <fill>
      <patternFill patternType="solid">
        <fgColor theme="0" tint="-0.14999847407452621"/>
        <bgColor indexed="64"/>
      </patternFill>
    </fill>
    <fill>
      <patternFill patternType="solid">
        <fgColor theme="0"/>
        <bgColor rgb="FF000000"/>
      </patternFill>
    </fill>
    <fill>
      <patternFill patternType="solid">
        <fgColor rgb="FFFFFFFF"/>
        <bgColor rgb="FFFFFFFF"/>
      </patternFill>
    </fill>
    <fill>
      <patternFill patternType="solid">
        <fgColor rgb="FF006600"/>
        <bgColor rgb="FF000000"/>
      </patternFill>
    </fill>
    <fill>
      <patternFill patternType="solid">
        <fgColor rgb="FF006600"/>
        <bgColor indexed="64"/>
      </patternFill>
    </fill>
    <fill>
      <patternFill patternType="solid">
        <fgColor rgb="FFFFFF99"/>
        <bgColor indexed="64"/>
      </patternFill>
    </fill>
    <fill>
      <patternFill patternType="solid">
        <fgColor rgb="FFFFFF99"/>
        <bgColor rgb="FF000000"/>
      </patternFill>
    </fill>
  </fills>
  <borders count="115">
    <border>
      <left/>
      <right/>
      <top/>
      <bottom/>
      <diagonal/>
    </border>
    <border>
      <left style="thin">
        <color rgb="FFD3D3D3"/>
      </left>
      <right style="thin">
        <color rgb="FFD3D3D3"/>
      </right>
      <top style="thin">
        <color rgb="FFD3D3D3"/>
      </top>
      <bottom/>
      <diagonal/>
    </border>
    <border>
      <left style="thin">
        <color auto="1"/>
      </left>
      <right style="thin">
        <color theme="0" tint="-0.24994659260841701"/>
      </right>
      <top style="thin">
        <color auto="1"/>
      </top>
      <bottom style="hair">
        <color auto="1"/>
      </bottom>
      <diagonal/>
    </border>
    <border>
      <left style="thin">
        <color theme="0" tint="-0.24994659260841701"/>
      </left>
      <right style="thin">
        <color theme="0" tint="-0.24994659260841701"/>
      </right>
      <top style="thin">
        <color auto="1"/>
      </top>
      <bottom style="hair">
        <color auto="1"/>
      </bottom>
      <diagonal/>
    </border>
    <border>
      <left style="thin">
        <color theme="0" tint="-0.24994659260841701"/>
      </left>
      <right style="thin">
        <color auto="1"/>
      </right>
      <top style="thin">
        <color auto="1"/>
      </top>
      <bottom style="hair">
        <color auto="1"/>
      </bottom>
      <diagonal/>
    </border>
    <border>
      <left style="thin">
        <color theme="0" tint="-0.24994659260841701"/>
      </left>
      <right style="thin">
        <color theme="0" tint="-0.24994659260841701"/>
      </right>
      <top style="hair">
        <color auto="1"/>
      </top>
      <bottom style="hair">
        <color auto="1"/>
      </bottom>
      <diagonal/>
    </border>
    <border>
      <left style="thin">
        <color theme="0" tint="-0.24994659260841701"/>
      </left>
      <right style="thin">
        <color auto="1"/>
      </right>
      <top style="hair">
        <color auto="1"/>
      </top>
      <bottom style="hair">
        <color auto="1"/>
      </bottom>
      <diagonal/>
    </border>
    <border>
      <left style="thin">
        <color theme="0" tint="-0.24994659260841701"/>
      </left>
      <right style="medium">
        <color auto="1"/>
      </right>
      <top/>
      <bottom style="medium">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theme="0" tint="-0.24994659260841701"/>
      </left>
      <right style="thin">
        <color theme="0" tint="-0.24994659260841701"/>
      </right>
      <top style="hair">
        <color auto="1"/>
      </top>
      <bottom style="thin">
        <color auto="1"/>
      </bottom>
      <diagonal/>
    </border>
    <border>
      <left style="thin">
        <color theme="0" tint="-0.24994659260841701"/>
      </left>
      <right style="thin">
        <color auto="1"/>
      </right>
      <top style="hair">
        <color auto="1"/>
      </top>
      <bottom style="thin">
        <color auto="1"/>
      </bottom>
      <diagonal/>
    </border>
    <border>
      <left style="thin">
        <color auto="1"/>
      </left>
      <right style="thin">
        <color auto="1"/>
      </right>
      <top/>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thin">
        <color auto="1"/>
      </top>
      <bottom/>
      <diagonal/>
    </border>
    <border>
      <left style="medium">
        <color auto="1"/>
      </left>
      <right/>
      <top/>
      <bottom style="thin">
        <color auto="1"/>
      </bottom>
      <diagonal/>
    </border>
    <border>
      <left style="medium">
        <color auto="1"/>
      </left>
      <right/>
      <top style="thin">
        <color auto="1"/>
      </top>
      <bottom style="thin">
        <color auto="1"/>
      </bottom>
      <diagonal/>
    </border>
    <border>
      <left/>
      <right style="thin">
        <color auto="1"/>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thin">
        <color auto="1"/>
      </left>
      <right style="hair">
        <color auto="1"/>
      </right>
      <top style="thin">
        <color auto="1"/>
      </top>
      <bottom/>
      <diagonal/>
    </border>
    <border>
      <left style="hair">
        <color auto="1"/>
      </left>
      <right style="hair">
        <color auto="1"/>
      </right>
      <top style="thin">
        <color auto="1"/>
      </top>
      <bottom/>
      <diagonal/>
    </border>
    <border>
      <left style="thin">
        <color auto="1"/>
      </left>
      <right style="hair">
        <color auto="1"/>
      </right>
      <top/>
      <bottom style="thin">
        <color auto="1"/>
      </bottom>
      <diagonal/>
    </border>
    <border>
      <left style="hair">
        <color auto="1"/>
      </left>
      <right style="hair">
        <color auto="1"/>
      </right>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bottom style="hair">
        <color auto="1"/>
      </bottom>
      <diagonal/>
    </border>
    <border>
      <left style="hair">
        <color auto="1"/>
      </left>
      <right style="hair">
        <color auto="1"/>
      </right>
      <top/>
      <bottom style="hair">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rgb="FFFFFFFF"/>
      </left>
      <right/>
      <top/>
      <bottom style="medium">
        <color auto="1"/>
      </bottom>
      <diagonal/>
    </border>
    <border>
      <left/>
      <right style="hair">
        <color rgb="FFD9D9D9"/>
      </right>
      <top/>
      <bottom style="medium">
        <color auto="1"/>
      </bottom>
      <diagonal/>
    </border>
    <border>
      <left/>
      <right/>
      <top style="medium">
        <color auto="1"/>
      </top>
      <bottom style="thin">
        <color auto="1"/>
      </bottom>
      <diagonal/>
    </border>
    <border>
      <left/>
      <right style="hair">
        <color rgb="FFD9D9D9"/>
      </right>
      <top style="medium">
        <color auto="1"/>
      </top>
      <bottom style="thin">
        <color auto="1"/>
      </bottom>
      <diagonal/>
    </border>
    <border>
      <left/>
      <right style="hair">
        <color rgb="FFD9D9D9"/>
      </right>
      <top style="thin">
        <color auto="1"/>
      </top>
      <bottom style="thin">
        <color auto="1"/>
      </bottom>
      <diagonal/>
    </border>
    <border>
      <left style="hair">
        <color rgb="FFD9D9D9"/>
      </left>
      <right/>
      <top style="thin">
        <color auto="1"/>
      </top>
      <bottom style="medium">
        <color auto="1"/>
      </bottom>
      <diagonal/>
    </border>
    <border>
      <left/>
      <right/>
      <top style="thin">
        <color auto="1"/>
      </top>
      <bottom style="medium">
        <color auto="1"/>
      </bottom>
      <diagonal/>
    </border>
    <border>
      <left/>
      <right style="hair">
        <color rgb="FFD9D9D9"/>
      </right>
      <top style="thin">
        <color auto="1"/>
      </top>
      <bottom style="medium">
        <color auto="1"/>
      </bottom>
      <diagonal/>
    </border>
    <border>
      <left style="hair">
        <color rgb="FFD9D9D9"/>
      </left>
      <right/>
      <top style="medium">
        <color auto="1"/>
      </top>
      <bottom/>
      <diagonal/>
    </border>
    <border>
      <left/>
      <right/>
      <top style="medium">
        <color auto="1"/>
      </top>
      <bottom style="thin">
        <color rgb="FFFFFFFF"/>
      </bottom>
      <diagonal/>
    </border>
    <border>
      <left/>
      <right style="hair">
        <color rgb="FFD9D9D9"/>
      </right>
      <top style="medium">
        <color auto="1"/>
      </top>
      <bottom style="thin">
        <color rgb="FFFFFFFF"/>
      </bottom>
      <diagonal/>
    </border>
    <border>
      <left/>
      <right/>
      <top style="thin">
        <color rgb="FFFFFFFF"/>
      </top>
      <bottom style="thin">
        <color rgb="FFFFFFFF"/>
      </bottom>
      <diagonal/>
    </border>
    <border>
      <left/>
      <right style="hair">
        <color rgb="FFD9D9D9"/>
      </right>
      <top style="thin">
        <color rgb="FFFFFFFF"/>
      </top>
      <bottom style="thin">
        <color rgb="FFFFFFFF"/>
      </bottom>
      <diagonal/>
    </border>
    <border>
      <left style="hair">
        <color rgb="FFD9D9D9"/>
      </left>
      <right/>
      <top/>
      <bottom/>
      <diagonal/>
    </border>
    <border>
      <left/>
      <right style="hair">
        <color rgb="FFD9D9D9"/>
      </right>
      <top/>
      <bottom/>
      <diagonal/>
    </border>
    <border>
      <left style="hair">
        <color rgb="FFD9D9D9"/>
      </left>
      <right/>
      <top/>
      <bottom style="medium">
        <color rgb="FFFFFFFF"/>
      </bottom>
      <diagonal/>
    </border>
    <border>
      <left style="thin">
        <color auto="1"/>
      </left>
      <right/>
      <top style="medium">
        <color auto="1"/>
      </top>
      <bottom/>
      <diagonal/>
    </border>
    <border>
      <left/>
      <right style="thin">
        <color auto="1"/>
      </right>
      <top style="medium">
        <color auto="1"/>
      </top>
      <bottom/>
      <diagonal/>
    </border>
    <border>
      <left style="thin">
        <color auto="1"/>
      </left>
      <right style="thin">
        <color auto="1"/>
      </right>
      <top style="medium">
        <color auto="1"/>
      </top>
      <bottom/>
      <diagonal/>
    </border>
    <border>
      <left/>
      <right style="hair">
        <color rgb="FFD9D9D9"/>
      </right>
      <top/>
      <bottom style="thin">
        <color rgb="FFFFFFFF"/>
      </bottom>
      <diagonal/>
    </border>
    <border>
      <left style="hair">
        <color rgb="FFD9D9D9"/>
      </left>
      <right/>
      <top style="medium">
        <color rgb="FFFFFFFF"/>
      </top>
      <bottom style="medium">
        <color rgb="FFFFFFFF"/>
      </bottom>
      <diagonal/>
    </border>
    <border>
      <left style="hair">
        <color rgb="FFD9D9D9"/>
      </left>
      <right/>
      <top style="medium">
        <color rgb="FFFFFFFF"/>
      </top>
      <bottom/>
      <diagonal/>
    </border>
    <border>
      <left style="thin">
        <color auto="1"/>
      </left>
      <right/>
      <top style="medium">
        <color auto="1"/>
      </top>
      <bottom style="medium">
        <color auto="1"/>
      </bottom>
      <diagonal/>
    </border>
    <border>
      <left/>
      <right/>
      <top style="medium">
        <color auto="1"/>
      </top>
      <bottom style="medium">
        <color auto="1"/>
      </bottom>
      <diagonal/>
    </border>
    <border>
      <left style="hair">
        <color rgb="FFD9D9D9"/>
      </left>
      <right style="medium">
        <color rgb="FFFFFFFF"/>
      </right>
      <top style="medium">
        <color rgb="FFFFFFFF"/>
      </top>
      <bottom style="medium">
        <color rgb="FFFFFFFF"/>
      </bottom>
      <diagonal/>
    </border>
    <border>
      <left/>
      <right style="thin">
        <color rgb="FFFFFFFF"/>
      </right>
      <top style="thin">
        <color rgb="FFFFFFFF"/>
      </top>
      <bottom style="thin">
        <color rgb="FFFFFFFF"/>
      </bottom>
      <diagonal/>
    </border>
    <border>
      <left style="thin">
        <color rgb="FFFFFFFF"/>
      </left>
      <right style="hair">
        <color rgb="FFD9D9D9"/>
      </right>
      <top style="thin">
        <color rgb="FFFFFFFF"/>
      </top>
      <bottom style="thin">
        <color rgb="FFFFFFFF"/>
      </bottom>
      <diagonal/>
    </border>
    <border>
      <left style="hair">
        <color rgb="FFD9D9D9"/>
      </left>
      <right/>
      <top/>
      <bottom style="thin">
        <color auto="1"/>
      </bottom>
      <diagonal/>
    </border>
    <border>
      <left/>
      <right style="hair">
        <color rgb="FFD9D9D9"/>
      </right>
      <top/>
      <bottom style="thin">
        <color auto="1"/>
      </bottom>
      <diagonal/>
    </border>
    <border>
      <left style="double">
        <color auto="1"/>
      </left>
      <right/>
      <top style="thin">
        <color auto="1"/>
      </top>
      <bottom/>
      <diagonal/>
    </border>
    <border>
      <left style="double">
        <color auto="1"/>
      </left>
      <right/>
      <top/>
      <bottom style="thin">
        <color auto="1"/>
      </bottom>
      <diagonal/>
    </border>
    <border>
      <left style="thin">
        <color auto="1"/>
      </left>
      <right style="thin">
        <color theme="0" tint="-0.14996795556505021"/>
      </right>
      <top style="thin">
        <color auto="1"/>
      </top>
      <bottom style="hair">
        <color auto="1"/>
      </bottom>
      <diagonal/>
    </border>
    <border>
      <left style="thin">
        <color theme="0" tint="-0.14996795556505021"/>
      </left>
      <right style="thin">
        <color theme="0" tint="-0.14996795556505021"/>
      </right>
      <top style="thin">
        <color auto="1"/>
      </top>
      <bottom style="hair">
        <color auto="1"/>
      </bottom>
      <diagonal/>
    </border>
    <border>
      <left style="thin">
        <color theme="0" tint="-0.14996795556505021"/>
      </left>
      <right style="thin">
        <color auto="1"/>
      </right>
      <top style="thin">
        <color auto="1"/>
      </top>
      <bottom style="hair">
        <color auto="1"/>
      </bottom>
      <diagonal/>
    </border>
    <border>
      <left style="double">
        <color auto="1"/>
      </left>
      <right style="thin">
        <color theme="0" tint="-4.9989318521683403E-2"/>
      </right>
      <top style="thin">
        <color auto="1"/>
      </top>
      <bottom style="hair">
        <color auto="1"/>
      </bottom>
      <diagonal/>
    </border>
    <border>
      <left style="thin">
        <color theme="0" tint="-4.9989318521683403E-2"/>
      </left>
      <right style="thin">
        <color theme="0" tint="-4.9989318521683403E-2"/>
      </right>
      <top style="thin">
        <color auto="1"/>
      </top>
      <bottom style="hair">
        <color auto="1"/>
      </bottom>
      <diagonal/>
    </border>
    <border>
      <left style="thin">
        <color auto="1"/>
      </left>
      <right style="thin">
        <color theme="0" tint="-0.14996795556505021"/>
      </right>
      <top style="hair">
        <color auto="1"/>
      </top>
      <bottom style="hair">
        <color auto="1"/>
      </bottom>
      <diagonal/>
    </border>
    <border>
      <left style="thin">
        <color theme="0" tint="-0.14996795556505021"/>
      </left>
      <right style="thin">
        <color theme="0" tint="-0.14996795556505021"/>
      </right>
      <top style="hair">
        <color auto="1"/>
      </top>
      <bottom style="hair">
        <color auto="1"/>
      </bottom>
      <diagonal/>
    </border>
    <border>
      <left style="thin">
        <color theme="0" tint="-0.14996795556505021"/>
      </left>
      <right style="thin">
        <color auto="1"/>
      </right>
      <top style="hair">
        <color auto="1"/>
      </top>
      <bottom style="hair">
        <color auto="1"/>
      </bottom>
      <diagonal/>
    </border>
    <border>
      <left style="double">
        <color auto="1"/>
      </left>
      <right style="thin">
        <color theme="0" tint="-4.9989318521683403E-2"/>
      </right>
      <top style="hair">
        <color auto="1"/>
      </top>
      <bottom style="hair">
        <color auto="1"/>
      </bottom>
      <diagonal/>
    </border>
    <border>
      <left style="thin">
        <color theme="0" tint="-4.9989318521683403E-2"/>
      </left>
      <right style="thin">
        <color theme="0" tint="-4.9989318521683403E-2"/>
      </right>
      <top style="hair">
        <color auto="1"/>
      </top>
      <bottom style="hair">
        <color auto="1"/>
      </bottom>
      <diagonal/>
    </border>
    <border>
      <left style="thin">
        <color theme="0" tint="-4.9989318521683403E-2"/>
      </left>
      <right style="thin">
        <color auto="1"/>
      </right>
      <top style="thin">
        <color auto="1"/>
      </top>
      <bottom/>
      <diagonal/>
    </border>
    <border>
      <left style="thin">
        <color theme="0" tint="-4.9989318521683403E-2"/>
      </left>
      <right style="thin">
        <color auto="1"/>
      </right>
      <top/>
      <bottom/>
      <diagonal/>
    </border>
    <border>
      <left style="double">
        <color auto="1"/>
      </left>
      <right style="thin">
        <color theme="0" tint="-4.9989318521683403E-2"/>
      </right>
      <top style="thin">
        <color auto="1"/>
      </top>
      <bottom style="thin">
        <color auto="1"/>
      </bottom>
      <diagonal/>
    </border>
    <border>
      <left style="thin">
        <color theme="0" tint="-4.9989318521683403E-2"/>
      </left>
      <right style="thin">
        <color theme="0" tint="-4.9989318521683403E-2"/>
      </right>
      <top style="thin">
        <color auto="1"/>
      </top>
      <bottom style="thin">
        <color auto="1"/>
      </bottom>
      <diagonal/>
    </border>
    <border>
      <left style="thin">
        <color theme="0" tint="-4.9989318521683403E-2"/>
      </left>
      <right style="thin">
        <color auto="1"/>
      </right>
      <top style="thin">
        <color auto="1"/>
      </top>
      <bottom style="thin">
        <color auto="1"/>
      </bottom>
      <diagonal/>
    </border>
    <border>
      <left style="hair">
        <color auto="1"/>
      </left>
      <right style="medium">
        <color indexed="64"/>
      </right>
      <top style="thin">
        <color auto="1"/>
      </top>
      <bottom/>
      <diagonal/>
    </border>
    <border>
      <left style="hair">
        <color auto="1"/>
      </left>
      <right style="medium">
        <color indexed="64"/>
      </right>
      <top/>
      <bottom style="thin">
        <color auto="1"/>
      </bottom>
      <diagonal/>
    </border>
    <border>
      <left style="hair">
        <color auto="1"/>
      </left>
      <right style="medium">
        <color indexed="64"/>
      </right>
      <top style="thin">
        <color auto="1"/>
      </top>
      <bottom style="hair">
        <color auto="1"/>
      </bottom>
      <diagonal/>
    </border>
    <border>
      <left style="hair">
        <color auto="1"/>
      </left>
      <right style="medium">
        <color indexed="64"/>
      </right>
      <top/>
      <bottom style="hair">
        <color auto="1"/>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style="thin">
        <color auto="1"/>
      </left>
      <right style="hair">
        <color auto="1"/>
      </right>
      <top/>
      <bottom style="medium">
        <color indexed="64"/>
      </bottom>
      <diagonal/>
    </border>
    <border>
      <left style="hair">
        <color auto="1"/>
      </left>
      <right style="hair">
        <color auto="1"/>
      </right>
      <top/>
      <bottom style="medium">
        <color indexed="64"/>
      </bottom>
      <diagonal/>
    </border>
    <border>
      <left style="hair">
        <color auto="1"/>
      </left>
      <right style="medium">
        <color indexed="64"/>
      </right>
      <top/>
      <bottom style="medium">
        <color indexed="64"/>
      </bottom>
      <diagonal/>
    </border>
    <border>
      <left/>
      <right style="medium">
        <color auto="1"/>
      </right>
      <top/>
      <bottom style="thin">
        <color indexed="64"/>
      </bottom>
      <diagonal/>
    </border>
    <border>
      <left/>
      <right/>
      <top style="thin">
        <color rgb="FFFFFFFF"/>
      </top>
      <bottom/>
      <diagonal/>
    </border>
    <border>
      <left/>
      <right style="hair">
        <color rgb="FFD9D9D9"/>
      </right>
      <top style="thin">
        <color rgb="FFFFFFFF"/>
      </top>
      <bottom/>
      <diagonal/>
    </border>
    <border>
      <left/>
      <right style="medium">
        <color auto="1"/>
      </right>
      <top style="thin">
        <color indexed="64"/>
      </top>
      <bottom style="medium">
        <color auto="1"/>
      </bottom>
      <diagonal/>
    </border>
  </borders>
  <cellStyleXfs count="10">
    <xf numFmtId="0" fontId="0" fillId="0" borderId="0"/>
    <xf numFmtId="43"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0" fontId="6" fillId="3" borderId="0" applyNumberFormat="0" applyBorder="0" applyAlignment="0" applyProtection="0"/>
    <xf numFmtId="0" fontId="8" fillId="0" borderId="0"/>
    <xf numFmtId="0" fontId="14" fillId="0" borderId="0"/>
    <xf numFmtId="0" fontId="19" fillId="0" borderId="0" applyNumberFormat="0" applyFill="0" applyBorder="0" applyAlignment="0" applyProtection="0"/>
    <xf numFmtId="44" fontId="8" fillId="0" borderId="0" applyFont="0" applyFill="0" applyBorder="0" applyAlignment="0" applyProtection="0"/>
    <xf numFmtId="0" fontId="8" fillId="0" borderId="0"/>
  </cellStyleXfs>
  <cellXfs count="400">
    <xf numFmtId="0" fontId="0" fillId="0" borderId="0" xfId="0" applyNumberFormat="1" applyFont="1" applyFill="1" applyBorder="1" applyAlignment="1" applyProtection="1"/>
    <xf numFmtId="0" fontId="0" fillId="0" borderId="0" xfId="0" pivotButton="1" applyNumberFormat="1" applyFont="1" applyFill="1" applyBorder="1" applyAlignment="1" applyProtection="1"/>
    <xf numFmtId="0" fontId="0" fillId="0" borderId="0" xfId="0" applyNumberFormat="1" applyFont="1" applyFill="1" applyBorder="1" applyAlignment="1" applyProtection="1">
      <alignment horizontal="left"/>
    </xf>
    <xf numFmtId="1" fontId="0" fillId="0" borderId="0" xfId="0" applyNumberFormat="1" applyFont="1" applyFill="1" applyBorder="1" applyAlignment="1" applyProtection="1"/>
    <xf numFmtId="0" fontId="0" fillId="2" borderId="0" xfId="0" applyNumberFormat="1" applyFont="1" applyFill="1" applyBorder="1" applyAlignment="1" applyProtection="1"/>
    <xf numFmtId="0" fontId="2" fillId="0" borderId="0" xfId="0" applyNumberFormat="1" applyFont="1" applyFill="1" applyBorder="1" applyAlignment="1" applyProtection="1"/>
    <xf numFmtId="10" fontId="0" fillId="0" borderId="0" xfId="0" applyNumberFormat="1" applyFont="1" applyFill="1" applyBorder="1" applyAlignment="1" applyProtection="1"/>
    <xf numFmtId="0" fontId="3" fillId="0" borderId="0" xfId="0" applyNumberFormat="1" applyFont="1" applyFill="1" applyBorder="1" applyAlignment="1" applyProtection="1"/>
    <xf numFmtId="0" fontId="2" fillId="0" borderId="0" xfId="0" applyNumberFormat="1" applyFont="1" applyFill="1" applyBorder="1" applyAlignment="1" applyProtection="1"/>
    <xf numFmtId="49" fontId="0" fillId="0" borderId="0" xfId="0" applyNumberFormat="1" applyFont="1" applyFill="1" applyBorder="1" applyAlignment="1" applyProtection="1"/>
    <xf numFmtId="0" fontId="0" fillId="0" borderId="0" xfId="0"/>
    <xf numFmtId="17" fontId="0" fillId="4" borderId="3" xfId="0" applyNumberFormat="1" applyFill="1" applyBorder="1"/>
    <xf numFmtId="0" fontId="0" fillId="4" borderId="3" xfId="0" applyFill="1" applyBorder="1"/>
    <xf numFmtId="44" fontId="0" fillId="4" borderId="3" xfId="2" applyFont="1" applyFill="1" applyBorder="1"/>
    <xf numFmtId="0" fontId="0" fillId="4" borderId="4" xfId="0" applyFill="1" applyBorder="1"/>
    <xf numFmtId="17" fontId="0" fillId="4" borderId="5" xfId="0" applyNumberFormat="1" applyFill="1" applyBorder="1"/>
    <xf numFmtId="0" fontId="0" fillId="4" borderId="5" xfId="0" applyFill="1" applyBorder="1"/>
    <xf numFmtId="44" fontId="0" fillId="4" borderId="5" xfId="2" applyFont="1" applyFill="1" applyBorder="1"/>
    <xf numFmtId="0" fontId="0" fillId="4" borderId="6" xfId="0" applyFill="1" applyBorder="1"/>
    <xf numFmtId="8" fontId="0" fillId="0" borderId="0" xfId="0" applyNumberFormat="1"/>
    <xf numFmtId="0" fontId="0" fillId="0" borderId="0" xfId="0" applyAlignment="1"/>
    <xf numFmtId="0" fontId="0" fillId="4" borderId="0" xfId="0" applyFill="1"/>
    <xf numFmtId="17" fontId="0" fillId="4" borderId="25" xfId="0" applyNumberFormat="1" applyFill="1" applyBorder="1"/>
    <xf numFmtId="0" fontId="0" fillId="4" borderId="25" xfId="0" applyFill="1" applyBorder="1"/>
    <xf numFmtId="44" fontId="0" fillId="4" borderId="25" xfId="2" applyFont="1" applyFill="1" applyBorder="1"/>
    <xf numFmtId="0" fontId="0" fillId="4" borderId="26" xfId="0" applyFill="1" applyBorder="1"/>
    <xf numFmtId="0" fontId="1" fillId="4" borderId="3" xfId="0" applyFont="1" applyFill="1" applyBorder="1"/>
    <xf numFmtId="0" fontId="1" fillId="4" borderId="2" xfId="0" applyFont="1" applyFill="1" applyBorder="1"/>
    <xf numFmtId="0" fontId="8" fillId="0" borderId="0" xfId="5"/>
    <xf numFmtId="0" fontId="0" fillId="0" borderId="0" xfId="0" applyBorder="1"/>
    <xf numFmtId="0" fontId="0" fillId="4" borderId="34" xfId="0" applyFill="1" applyBorder="1"/>
    <xf numFmtId="0" fontId="0" fillId="4" borderId="0" xfId="0" applyFill="1" applyBorder="1"/>
    <xf numFmtId="0" fontId="0" fillId="4" borderId="35" xfId="0" applyFill="1" applyBorder="1"/>
    <xf numFmtId="0" fontId="0" fillId="4" borderId="36" xfId="0" applyFill="1" applyBorder="1"/>
    <xf numFmtId="0" fontId="0" fillId="4" borderId="37" xfId="0" applyFill="1" applyBorder="1"/>
    <xf numFmtId="0" fontId="0" fillId="4" borderId="38" xfId="0" applyFill="1" applyBorder="1"/>
    <xf numFmtId="0" fontId="0" fillId="4" borderId="32" xfId="0" applyFill="1" applyBorder="1"/>
    <xf numFmtId="167" fontId="8" fillId="4" borderId="41" xfId="5" applyNumberFormat="1" applyFill="1" applyBorder="1" applyAlignment="1">
      <alignment horizontal="centerContinuous"/>
    </xf>
    <xf numFmtId="0" fontId="0" fillId="4" borderId="16" xfId="0" applyFill="1" applyBorder="1" applyAlignment="1">
      <alignment horizontal="centerContinuous"/>
    </xf>
    <xf numFmtId="9" fontId="8" fillId="4" borderId="14" xfId="3" applyFont="1" applyFill="1" applyBorder="1" applyAlignment="1">
      <alignment horizontal="centerContinuous"/>
    </xf>
    <xf numFmtId="168" fontId="8" fillId="4" borderId="14" xfId="5" applyNumberFormat="1" applyFill="1" applyBorder="1" applyAlignment="1">
      <alignment horizontal="centerContinuous"/>
    </xf>
    <xf numFmtId="0" fontId="8" fillId="4" borderId="14" xfId="5" applyFill="1" applyBorder="1" applyAlignment="1">
      <alignment horizontal="centerContinuous"/>
    </xf>
    <xf numFmtId="0" fontId="0" fillId="4" borderId="33" xfId="0" applyFill="1" applyBorder="1"/>
    <xf numFmtId="0" fontId="2" fillId="0" borderId="0" xfId="0" applyNumberFormat="1" applyFont="1" applyFill="1" applyBorder="1" applyAlignment="1" applyProtection="1">
      <alignment wrapText="1"/>
    </xf>
    <xf numFmtId="44" fontId="0" fillId="0" borderId="0" xfId="2" applyFont="1" applyFill="1" applyBorder="1" applyAlignment="1" applyProtection="1"/>
    <xf numFmtId="171" fontId="16" fillId="0" borderId="23" xfId="5" applyNumberFormat="1" applyFont="1" applyFill="1" applyBorder="1" applyAlignment="1">
      <alignment horizontal="center"/>
    </xf>
    <xf numFmtId="171" fontId="16" fillId="0" borderId="24" xfId="5" applyNumberFormat="1" applyFont="1" applyFill="1" applyBorder="1" applyAlignment="1">
      <alignment horizontal="center"/>
    </xf>
    <xf numFmtId="0" fontId="0" fillId="0" borderId="0" xfId="0" applyNumberFormat="1" applyFont="1" applyFill="1" applyBorder="1" applyAlignment="1" applyProtection="1">
      <alignment wrapText="1"/>
    </xf>
    <xf numFmtId="0" fontId="17" fillId="4" borderId="31" xfId="0" applyFont="1" applyFill="1" applyBorder="1"/>
    <xf numFmtId="165" fontId="9" fillId="0" borderId="49" xfId="5" applyNumberFormat="1" applyFont="1" applyFill="1" applyBorder="1" applyAlignment="1">
      <alignment horizontal="right" vertical="center" indent="1"/>
    </xf>
    <xf numFmtId="165" fontId="9" fillId="0" borderId="50" xfId="5" applyNumberFormat="1" applyFont="1" applyFill="1" applyBorder="1" applyAlignment="1">
      <alignment horizontal="right" vertical="center" indent="1"/>
    </xf>
    <xf numFmtId="166" fontId="9" fillId="0" borderId="50" xfId="5" applyNumberFormat="1" applyFont="1" applyFill="1" applyBorder="1" applyAlignment="1">
      <alignment horizontal="right" vertical="center" indent="1"/>
    </xf>
    <xf numFmtId="165" fontId="9" fillId="0" borderId="51" xfId="5" applyNumberFormat="1" applyFont="1" applyFill="1" applyBorder="1" applyAlignment="1">
      <alignment horizontal="right" vertical="center" indent="1"/>
    </xf>
    <xf numFmtId="165" fontId="9" fillId="0" borderId="52" xfId="5" applyNumberFormat="1" applyFont="1" applyFill="1" applyBorder="1" applyAlignment="1">
      <alignment horizontal="right" vertical="center" indent="1"/>
    </xf>
    <xf numFmtId="166" fontId="9" fillId="0" borderId="52" xfId="5" applyNumberFormat="1" applyFont="1" applyFill="1" applyBorder="1" applyAlignment="1">
      <alignment horizontal="right" vertical="center" indent="1"/>
    </xf>
    <xf numFmtId="166" fontId="9" fillId="0" borderId="52" xfId="5" applyNumberFormat="1" applyFont="1" applyFill="1" applyBorder="1" applyAlignment="1">
      <alignment horizontal="right" vertical="center"/>
    </xf>
    <xf numFmtId="0" fontId="20" fillId="4" borderId="0" xfId="7" applyFont="1" applyFill="1" applyBorder="1" applyAlignment="1">
      <alignment horizontal="left" vertical="center"/>
    </xf>
    <xf numFmtId="0" fontId="0" fillId="4" borderId="0" xfId="0" applyNumberFormat="1" applyFont="1" applyFill="1" applyBorder="1" applyAlignment="1" applyProtection="1"/>
    <xf numFmtId="0" fontId="0" fillId="0" borderId="32" xfId="0" applyNumberFormat="1" applyFont="1" applyFill="1" applyBorder="1" applyAlignment="1" applyProtection="1"/>
    <xf numFmtId="0" fontId="0" fillId="0" borderId="33" xfId="0" applyNumberFormat="1" applyFont="1" applyFill="1" applyBorder="1" applyAlignment="1" applyProtection="1"/>
    <xf numFmtId="0" fontId="0" fillId="0" borderId="35" xfId="0" applyNumberFormat="1" applyFont="1" applyFill="1" applyBorder="1" applyAlignment="1" applyProtection="1"/>
    <xf numFmtId="0" fontId="0" fillId="0" borderId="37" xfId="0" applyNumberFormat="1" applyFont="1" applyFill="1" applyBorder="1" applyAlignment="1" applyProtection="1"/>
    <xf numFmtId="0" fontId="0" fillId="0" borderId="38" xfId="0" applyNumberFormat="1" applyFont="1" applyFill="1" applyBorder="1" applyAlignment="1" applyProtection="1"/>
    <xf numFmtId="0" fontId="0" fillId="0" borderId="18" xfId="0" applyNumberFormat="1" applyFont="1" applyFill="1" applyBorder="1" applyAlignment="1" applyProtection="1"/>
    <xf numFmtId="2" fontId="0" fillId="0" borderId="18" xfId="0" applyNumberFormat="1" applyFont="1" applyFill="1" applyBorder="1" applyAlignment="1" applyProtection="1">
      <alignment horizontal="right"/>
    </xf>
    <xf numFmtId="1" fontId="0" fillId="0" borderId="18" xfId="0" applyNumberFormat="1" applyFont="1" applyFill="1" applyBorder="1" applyAlignment="1" applyProtection="1">
      <alignment horizontal="right"/>
    </xf>
    <xf numFmtId="170" fontId="0" fillId="0" borderId="18" xfId="1" applyNumberFormat="1" applyFont="1" applyFill="1" applyBorder="1" applyAlignment="1" applyProtection="1"/>
    <xf numFmtId="170" fontId="0" fillId="0" borderId="18" xfId="0" applyNumberFormat="1" applyFont="1" applyFill="1" applyBorder="1" applyAlignment="1" applyProtection="1"/>
    <xf numFmtId="43" fontId="0" fillId="0" borderId="18" xfId="0" applyNumberFormat="1" applyFont="1" applyFill="1" applyBorder="1" applyAlignment="1" applyProtection="1"/>
    <xf numFmtId="44" fontId="0" fillId="0" borderId="18" xfId="2" applyFont="1" applyFill="1" applyBorder="1" applyAlignment="1" applyProtection="1"/>
    <xf numFmtId="170" fontId="0" fillId="0" borderId="53" xfId="1" applyNumberFormat="1" applyFont="1" applyFill="1" applyBorder="1" applyAlignment="1" applyProtection="1"/>
    <xf numFmtId="0" fontId="2" fillId="0" borderId="54" xfId="0" applyNumberFormat="1" applyFont="1" applyFill="1" applyBorder="1" applyAlignment="1" applyProtection="1"/>
    <xf numFmtId="43" fontId="2" fillId="0" borderId="54" xfId="1" applyFont="1" applyFill="1" applyBorder="1" applyAlignment="1" applyProtection="1"/>
    <xf numFmtId="43" fontId="2" fillId="0" borderId="55" xfId="1" applyFont="1" applyFill="1" applyBorder="1" applyAlignment="1" applyProtection="1"/>
    <xf numFmtId="44" fontId="0" fillId="0" borderId="53" xfId="2" applyFont="1" applyFill="1" applyBorder="1" applyAlignment="1" applyProtection="1"/>
    <xf numFmtId="0" fontId="0" fillId="0" borderId="54" xfId="0" applyNumberFormat="1" applyFont="1" applyFill="1" applyBorder="1" applyAlignment="1" applyProtection="1"/>
    <xf numFmtId="44" fontId="0" fillId="0" borderId="54" xfId="2" applyFont="1" applyFill="1" applyBorder="1" applyAlignment="1" applyProtection="1"/>
    <xf numFmtId="44" fontId="0" fillId="0" borderId="55" xfId="2" applyFont="1" applyFill="1" applyBorder="1" applyAlignment="1" applyProtection="1"/>
    <xf numFmtId="9" fontId="0" fillId="0" borderId="0" xfId="3" applyFont="1" applyFill="1" applyBorder="1" applyAlignment="1" applyProtection="1"/>
    <xf numFmtId="0" fontId="8" fillId="7" borderId="31" xfId="5" applyFill="1" applyBorder="1"/>
    <xf numFmtId="0" fontId="8" fillId="7" borderId="32" xfId="5" applyFill="1" applyBorder="1"/>
    <xf numFmtId="0" fontId="8" fillId="7" borderId="34" xfId="5" applyFill="1" applyBorder="1"/>
    <xf numFmtId="0" fontId="8" fillId="7" borderId="35" xfId="5" applyFill="1" applyBorder="1"/>
    <xf numFmtId="2" fontId="28" fillId="5" borderId="15" xfId="5" applyNumberFormat="1" applyFont="1" applyFill="1" applyBorder="1" applyAlignment="1">
      <alignment horizontal="right" vertical="center"/>
    </xf>
    <xf numFmtId="2" fontId="28" fillId="5" borderId="60" xfId="5" applyNumberFormat="1" applyFont="1" applyFill="1" applyBorder="1" applyAlignment="1">
      <alignment horizontal="right" vertical="center"/>
    </xf>
    <xf numFmtId="0" fontId="30" fillId="4" borderId="65" xfId="5" applyFont="1" applyFill="1" applyBorder="1" applyAlignment="1">
      <alignment horizontal="center" vertical="center"/>
    </xf>
    <xf numFmtId="0" fontId="4" fillId="4" borderId="66" xfId="5" applyFont="1" applyFill="1" applyBorder="1" applyAlignment="1">
      <alignment horizontal="left" indent="1"/>
    </xf>
    <xf numFmtId="0" fontId="4" fillId="4" borderId="65" xfId="5" applyFont="1" applyFill="1" applyBorder="1" applyAlignment="1">
      <alignment horizontal="left" indent="1"/>
    </xf>
    <xf numFmtId="0" fontId="4" fillId="4" borderId="65" xfId="5" applyFont="1" applyFill="1" applyBorder="1" applyAlignment="1">
      <alignment horizontal="right"/>
    </xf>
    <xf numFmtId="0" fontId="8" fillId="4" borderId="32" xfId="5" applyFill="1" applyBorder="1"/>
    <xf numFmtId="0" fontId="4" fillId="4" borderId="67" xfId="5" applyFont="1" applyFill="1" applyBorder="1" applyAlignment="1">
      <alignment horizontal="left" indent="1"/>
    </xf>
    <xf numFmtId="0" fontId="4" fillId="4" borderId="67" xfId="5" applyFont="1" applyFill="1" applyBorder="1" applyAlignment="1">
      <alignment horizontal="right"/>
    </xf>
    <xf numFmtId="0" fontId="8" fillId="4" borderId="0" xfId="5" applyFill="1" applyBorder="1"/>
    <xf numFmtId="173" fontId="31" fillId="4" borderId="70" xfId="5" applyNumberFormat="1" applyFont="1" applyFill="1" applyBorder="1" applyAlignment="1">
      <alignment horizontal="left"/>
    </xf>
    <xf numFmtId="1" fontId="28" fillId="5" borderId="69" xfId="5" applyNumberFormat="1" applyFont="1" applyFill="1" applyBorder="1" applyAlignment="1">
      <alignment horizontal="left"/>
    </xf>
    <xf numFmtId="1" fontId="28" fillId="5" borderId="0" xfId="5" applyNumberFormat="1" applyFont="1" applyFill="1" applyBorder="1" applyAlignment="1">
      <alignment horizontal="center" vertical="center" wrapText="1"/>
    </xf>
    <xf numFmtId="1" fontId="28" fillId="8" borderId="0" xfId="5" applyNumberFormat="1" applyFont="1" applyFill="1" applyBorder="1" applyAlignment="1">
      <alignment horizontal="center" vertical="center" wrapText="1"/>
    </xf>
    <xf numFmtId="0" fontId="28" fillId="0" borderId="71" xfId="5" applyFont="1" applyFill="1" applyBorder="1" applyAlignment="1">
      <alignment horizontal="left" vertical="center"/>
    </xf>
    <xf numFmtId="0" fontId="30" fillId="4" borderId="75" xfId="5" applyFont="1" applyFill="1" applyBorder="1"/>
    <xf numFmtId="0" fontId="30" fillId="4" borderId="0" xfId="5" applyFont="1" applyFill="1" applyBorder="1"/>
    <xf numFmtId="0" fontId="31" fillId="0" borderId="76" xfId="5" applyFont="1" applyFill="1" applyBorder="1" applyAlignment="1">
      <alignment horizontal="right" vertical="center" wrapText="1"/>
    </xf>
    <xf numFmtId="174" fontId="32" fillId="4" borderId="28" xfId="8" applyNumberFormat="1" applyFont="1" applyFill="1" applyBorder="1" applyAlignment="1">
      <alignment horizontal="right" vertical="center"/>
    </xf>
    <xf numFmtId="175" fontId="32" fillId="4" borderId="28" xfId="5" applyNumberFormat="1" applyFont="1" applyFill="1" applyBorder="1" applyAlignment="1">
      <alignment horizontal="right" vertical="center" indent="1"/>
    </xf>
    <xf numFmtId="174" fontId="32" fillId="4" borderId="29" xfId="8" applyNumberFormat="1" applyFont="1" applyFill="1" applyBorder="1" applyAlignment="1">
      <alignment horizontal="right" vertical="center"/>
    </xf>
    <xf numFmtId="0" fontId="35" fillId="4" borderId="0" xfId="5" applyFont="1" applyFill="1" applyBorder="1"/>
    <xf numFmtId="175" fontId="32" fillId="4" borderId="29" xfId="5" applyNumberFormat="1" applyFont="1" applyFill="1" applyBorder="1" applyAlignment="1">
      <alignment horizontal="right" vertical="center" indent="1"/>
    </xf>
    <xf numFmtId="0" fontId="31" fillId="0" borderId="76" xfId="5" applyFont="1" applyFill="1" applyBorder="1" applyAlignment="1">
      <alignment horizontal="center" vertical="center" wrapText="1"/>
    </xf>
    <xf numFmtId="0" fontId="31" fillId="0" borderId="77" xfId="5" applyFont="1" applyFill="1" applyBorder="1" applyAlignment="1">
      <alignment horizontal="center" vertical="center" wrapText="1"/>
    </xf>
    <xf numFmtId="0" fontId="37" fillId="4" borderId="0" xfId="5" applyFont="1" applyFill="1" applyBorder="1"/>
    <xf numFmtId="0" fontId="31" fillId="0" borderId="76" xfId="5" applyFont="1" applyFill="1" applyBorder="1" applyAlignment="1">
      <alignment horizontal="center"/>
    </xf>
    <xf numFmtId="0" fontId="31" fillId="0" borderId="80" xfId="5" applyFont="1" applyFill="1" applyBorder="1" applyAlignment="1">
      <alignment horizontal="center"/>
    </xf>
    <xf numFmtId="0" fontId="8" fillId="4" borderId="0" xfId="9" applyFill="1"/>
    <xf numFmtId="0" fontId="31" fillId="5" borderId="0" xfId="5" applyFont="1" applyFill="1" applyBorder="1" applyAlignment="1">
      <alignment horizontal="left"/>
    </xf>
    <xf numFmtId="0" fontId="31" fillId="9" borderId="0" xfId="5" applyFont="1" applyFill="1" applyBorder="1" applyAlignment="1">
      <alignment horizontal="right"/>
    </xf>
    <xf numFmtId="0" fontId="39" fillId="5" borderId="0" xfId="5" applyFont="1" applyFill="1" applyBorder="1" applyAlignment="1">
      <alignment horizontal="right" vertical="center"/>
    </xf>
    <xf numFmtId="0" fontId="39" fillId="8" borderId="0" xfId="5" applyFont="1" applyFill="1" applyBorder="1" applyAlignment="1">
      <alignment horizontal="right" vertical="center"/>
    </xf>
    <xf numFmtId="0" fontId="31" fillId="8" borderId="0" xfId="5" applyFont="1" applyFill="1" applyBorder="1" applyAlignment="1">
      <alignment horizontal="right"/>
    </xf>
    <xf numFmtId="0" fontId="41" fillId="8" borderId="0" xfId="5" applyFont="1" applyFill="1" applyBorder="1" applyAlignment="1">
      <alignment horizontal="right" vertical="center"/>
    </xf>
    <xf numFmtId="2" fontId="42" fillId="5" borderId="0" xfId="5" applyNumberFormat="1" applyFont="1" applyFill="1" applyBorder="1" applyAlignment="1">
      <alignment horizontal="left" vertical="center"/>
    </xf>
    <xf numFmtId="0" fontId="30" fillId="8" borderId="70" xfId="5" applyFont="1" applyFill="1" applyBorder="1"/>
    <xf numFmtId="0" fontId="30" fillId="0" borderId="69" xfId="5" applyFont="1" applyFill="1" applyBorder="1"/>
    <xf numFmtId="0" fontId="42" fillId="8" borderId="82" xfId="5" applyFont="1" applyFill="1" applyBorder="1" applyAlignment="1">
      <alignment horizontal="left" vertical="center" wrapText="1"/>
    </xf>
    <xf numFmtId="0" fontId="30" fillId="5" borderId="69" xfId="5" applyFont="1" applyFill="1" applyBorder="1"/>
    <xf numFmtId="0" fontId="30" fillId="5" borderId="0" xfId="5" applyFont="1" applyFill="1" applyBorder="1"/>
    <xf numFmtId="0" fontId="30" fillId="5" borderId="75" xfId="5" applyFont="1" applyFill="1" applyBorder="1"/>
    <xf numFmtId="0" fontId="28" fillId="5" borderId="69" xfId="5" applyFont="1" applyFill="1" applyBorder="1" applyAlignment="1"/>
    <xf numFmtId="0" fontId="28" fillId="5" borderId="43" xfId="5" applyFont="1" applyFill="1" applyBorder="1" applyAlignment="1">
      <alignment vertical="top"/>
    </xf>
    <xf numFmtId="0" fontId="44" fillId="5" borderId="43" xfId="5" applyFont="1" applyFill="1" applyBorder="1" applyAlignment="1">
      <alignment vertical="top"/>
    </xf>
    <xf numFmtId="0" fontId="44" fillId="5" borderId="0" xfId="5" applyFont="1" applyFill="1" applyBorder="1" applyAlignment="1">
      <alignment vertical="top"/>
    </xf>
    <xf numFmtId="0" fontId="29" fillId="5" borderId="43" xfId="5" applyFont="1" applyFill="1" applyBorder="1" applyAlignment="1">
      <alignment vertical="top"/>
    </xf>
    <xf numFmtId="0" fontId="44" fillId="5" borderId="68" xfId="5" applyFont="1" applyFill="1" applyBorder="1" applyAlignment="1"/>
    <xf numFmtId="0" fontId="30" fillId="5" borderId="68" xfId="5" applyFont="1" applyFill="1" applyBorder="1"/>
    <xf numFmtId="0" fontId="8" fillId="7" borderId="36" xfId="5" applyFill="1" applyBorder="1"/>
    <xf numFmtId="0" fontId="8" fillId="7" borderId="37" xfId="5" applyFill="1" applyBorder="1"/>
    <xf numFmtId="0" fontId="8" fillId="7" borderId="38" xfId="5" applyFill="1" applyBorder="1"/>
    <xf numFmtId="0" fontId="8" fillId="6" borderId="31" xfId="5" applyFill="1" applyBorder="1"/>
    <xf numFmtId="0" fontId="45" fillId="6" borderId="32" xfId="5" applyFont="1" applyFill="1" applyBorder="1" applyAlignment="1">
      <alignment vertical="center"/>
    </xf>
    <xf numFmtId="0" fontId="45" fillId="6" borderId="32" xfId="5" applyFont="1" applyFill="1" applyBorder="1" applyAlignment="1">
      <alignment horizontal="centerContinuous" vertical="center"/>
    </xf>
    <xf numFmtId="0" fontId="8" fillId="6" borderId="32" xfId="5" applyFill="1" applyBorder="1" applyAlignment="1">
      <alignment horizontal="centerContinuous"/>
    </xf>
    <xf numFmtId="0" fontId="46" fillId="6" borderId="32" xfId="5" applyFont="1" applyFill="1" applyBorder="1" applyAlignment="1">
      <alignment horizontal="centerContinuous" vertical="center"/>
    </xf>
    <xf numFmtId="0" fontId="8" fillId="6" borderId="33" xfId="5" applyFill="1" applyBorder="1"/>
    <xf numFmtId="0" fontId="8" fillId="6" borderId="34" xfId="5" applyFill="1" applyBorder="1"/>
    <xf numFmtId="0" fontId="9" fillId="0" borderId="19" xfId="5" applyFont="1" applyBorder="1" applyAlignment="1">
      <alignment horizontal="centerContinuous"/>
    </xf>
    <xf numFmtId="166" fontId="21" fillId="4" borderId="21" xfId="5" applyNumberFormat="1" applyFont="1" applyFill="1" applyBorder="1" applyAlignment="1">
      <alignment horizontal="centerContinuous" vertical="center"/>
    </xf>
    <xf numFmtId="0" fontId="8" fillId="6" borderId="35" xfId="5" applyFill="1" applyBorder="1"/>
    <xf numFmtId="165" fontId="9" fillId="4" borderId="87" xfId="5" applyNumberFormat="1" applyFont="1" applyFill="1" applyBorder="1" applyAlignment="1">
      <alignment vertical="center"/>
    </xf>
    <xf numFmtId="165" fontId="9" fillId="4" borderId="88" xfId="5" applyNumberFormat="1" applyFont="1" applyFill="1" applyBorder="1" applyAlignment="1">
      <alignment vertical="center"/>
    </xf>
    <xf numFmtId="165" fontId="9" fillId="4" borderId="89" xfId="5" applyNumberFormat="1" applyFont="1" applyFill="1" applyBorder="1" applyAlignment="1"/>
    <xf numFmtId="170" fontId="9" fillId="4" borderId="90" xfId="1" applyNumberFormat="1" applyFont="1" applyFill="1" applyBorder="1" applyAlignment="1">
      <alignment vertical="center"/>
    </xf>
    <xf numFmtId="170" fontId="9" fillId="4" borderId="91" xfId="1" applyNumberFormat="1" applyFont="1" applyFill="1" applyBorder="1" applyAlignment="1"/>
    <xf numFmtId="165" fontId="9" fillId="4" borderId="92" xfId="5" applyNumberFormat="1" applyFont="1" applyFill="1" applyBorder="1" applyAlignment="1">
      <alignment vertical="center"/>
    </xf>
    <xf numFmtId="165" fontId="9" fillId="4" borderId="93" xfId="5" applyNumberFormat="1" applyFont="1" applyFill="1" applyBorder="1" applyAlignment="1">
      <alignment vertical="center"/>
    </xf>
    <xf numFmtId="165" fontId="9" fillId="4" borderId="94" xfId="5" applyNumberFormat="1" applyFont="1" applyFill="1" applyBorder="1" applyAlignment="1"/>
    <xf numFmtId="170" fontId="9" fillId="4" borderId="95" xfId="1" applyNumberFormat="1" applyFont="1" applyFill="1" applyBorder="1" applyAlignment="1">
      <alignment vertical="center"/>
    </xf>
    <xf numFmtId="170" fontId="9" fillId="4" borderId="96" xfId="1" applyNumberFormat="1" applyFont="1" applyFill="1" applyBorder="1" applyAlignment="1"/>
    <xf numFmtId="0" fontId="48" fillId="0" borderId="43" xfId="5" applyFont="1" applyBorder="1" applyAlignment="1">
      <alignment horizontal="center"/>
    </xf>
    <xf numFmtId="0" fontId="48" fillId="0" borderId="0" xfId="5" applyFont="1" applyBorder="1" applyAlignment="1">
      <alignment horizontal="center"/>
    </xf>
    <xf numFmtId="1" fontId="48" fillId="0" borderId="30" xfId="5" applyNumberFormat="1" applyFont="1" applyBorder="1" applyAlignment="1">
      <alignment horizontal="right" indent="1"/>
    </xf>
    <xf numFmtId="166" fontId="21" fillId="6" borderId="0" xfId="5" applyNumberFormat="1" applyFont="1" applyFill="1" applyBorder="1" applyAlignment="1">
      <alignment horizontal="left" vertical="center"/>
    </xf>
    <xf numFmtId="0" fontId="8" fillId="6" borderId="0" xfId="5" applyFill="1" applyBorder="1"/>
    <xf numFmtId="0" fontId="0" fillId="6" borderId="0" xfId="0" applyFill="1" applyBorder="1"/>
    <xf numFmtId="0" fontId="8" fillId="6" borderId="43" xfId="5" applyFill="1" applyBorder="1"/>
    <xf numFmtId="165" fontId="21" fillId="6" borderId="32" xfId="5" applyNumberFormat="1" applyFont="1" applyFill="1" applyBorder="1" applyAlignment="1">
      <alignment horizontal="right"/>
    </xf>
    <xf numFmtId="165" fontId="36" fillId="6" borderId="32" xfId="5" applyNumberFormat="1" applyFont="1" applyFill="1" applyBorder="1" applyAlignment="1">
      <alignment horizontal="right"/>
    </xf>
    <xf numFmtId="165" fontId="21" fillId="6" borderId="0" xfId="5" applyNumberFormat="1" applyFont="1" applyFill="1" applyBorder="1" applyAlignment="1">
      <alignment horizontal="right"/>
    </xf>
    <xf numFmtId="165" fontId="36" fillId="6" borderId="0" xfId="5" applyNumberFormat="1" applyFont="1" applyFill="1" applyBorder="1" applyAlignment="1">
      <alignment horizontal="right"/>
    </xf>
    <xf numFmtId="165" fontId="21" fillId="6" borderId="35" xfId="5" applyNumberFormat="1" applyFont="1" applyFill="1" applyBorder="1" applyAlignment="1">
      <alignment horizontal="right" vertical="top"/>
    </xf>
    <xf numFmtId="0" fontId="21" fillId="6" borderId="0" xfId="5" applyFont="1" applyFill="1" applyBorder="1" applyAlignment="1">
      <alignment horizontal="right"/>
    </xf>
    <xf numFmtId="0" fontId="49" fillId="6" borderId="0" xfId="5" applyFont="1" applyFill="1" applyBorder="1" applyAlignment="1">
      <alignment vertical="center" wrapText="1"/>
    </xf>
    <xf numFmtId="0" fontId="50" fillId="6" borderId="0" xfId="5" applyFont="1" applyFill="1" applyBorder="1" applyAlignment="1">
      <alignment horizontal="left" vertical="top"/>
    </xf>
    <xf numFmtId="0" fontId="0" fillId="6" borderId="0" xfId="0" applyFill="1"/>
    <xf numFmtId="166" fontId="8" fillId="0" borderId="22" xfId="5" applyNumberFormat="1" applyFont="1" applyBorder="1" applyAlignment="1">
      <alignment horizontal="center" vertical="center"/>
    </xf>
    <xf numFmtId="0" fontId="8" fillId="6" borderId="36" xfId="5" applyFill="1" applyBorder="1"/>
    <xf numFmtId="0" fontId="8" fillId="6" borderId="37" xfId="5" applyFill="1" applyBorder="1"/>
    <xf numFmtId="166" fontId="21" fillId="6" borderId="37" xfId="5" applyNumberFormat="1" applyFont="1" applyFill="1" applyBorder="1" applyAlignment="1">
      <alignment horizontal="left" vertical="center"/>
    </xf>
    <xf numFmtId="0" fontId="49" fillId="6" borderId="37" xfId="5" applyFont="1" applyFill="1" applyBorder="1" applyAlignment="1">
      <alignment vertical="center" wrapText="1"/>
    </xf>
    <xf numFmtId="0" fontId="8" fillId="6" borderId="38" xfId="5" applyFill="1" applyBorder="1"/>
    <xf numFmtId="0" fontId="51" fillId="10" borderId="58" xfId="5" applyFont="1" applyFill="1" applyBorder="1" applyAlignment="1">
      <alignment horizontal="right"/>
    </xf>
    <xf numFmtId="0" fontId="52" fillId="10" borderId="59" xfId="5" applyFont="1" applyFill="1" applyBorder="1" applyAlignment="1">
      <alignment horizontal="right"/>
    </xf>
    <xf numFmtId="1" fontId="51" fillId="5" borderId="0" xfId="5" applyNumberFormat="1" applyFont="1" applyFill="1" applyBorder="1" applyAlignment="1">
      <alignment horizontal="center" vertical="center" wrapText="1"/>
    </xf>
    <xf numFmtId="0" fontId="52" fillId="10" borderId="58" xfId="5" applyFont="1" applyFill="1" applyBorder="1" applyAlignment="1"/>
    <xf numFmtId="0" fontId="8" fillId="0" borderId="43" xfId="5" applyFont="1" applyBorder="1" applyAlignment="1">
      <alignment horizontal="centerContinuous"/>
    </xf>
    <xf numFmtId="0" fontId="8" fillId="0" borderId="20" xfId="5" applyFont="1" applyBorder="1" applyAlignment="1">
      <alignment horizontal="centerContinuous"/>
    </xf>
    <xf numFmtId="0" fontId="10" fillId="4" borderId="85" xfId="5" applyFont="1" applyFill="1" applyBorder="1" applyAlignment="1">
      <alignment horizontal="centerContinuous" vertical="center"/>
    </xf>
    <xf numFmtId="0" fontId="10" fillId="4" borderId="20" xfId="5" applyFont="1" applyFill="1" applyBorder="1" applyAlignment="1">
      <alignment horizontal="centerContinuous" vertical="center"/>
    </xf>
    <xf numFmtId="0" fontId="10" fillId="0" borderId="22" xfId="5" applyFont="1" applyBorder="1" applyAlignment="1">
      <alignment horizontal="center" vertical="center" wrapText="1"/>
    </xf>
    <xf numFmtId="0" fontId="10" fillId="0" borderId="30" xfId="5" applyFont="1" applyBorder="1" applyAlignment="1">
      <alignment horizontal="center" vertical="center" wrapText="1"/>
    </xf>
    <xf numFmtId="0" fontId="18" fillId="0" borderId="23" xfId="5" applyFont="1" applyBorder="1" applyAlignment="1">
      <alignment horizontal="center" vertical="center" wrapText="1"/>
    </xf>
    <xf numFmtId="0" fontId="10" fillId="0" borderId="86" xfId="5" applyFont="1" applyBorder="1" applyAlignment="1">
      <alignment horizontal="center"/>
    </xf>
    <xf numFmtId="0" fontId="10" fillId="0" borderId="30" xfId="5" applyFont="1" applyBorder="1" applyAlignment="1">
      <alignment horizontal="center" wrapText="1"/>
    </xf>
    <xf numFmtId="0" fontId="10" fillId="0" borderId="23" xfId="5" applyFont="1" applyBorder="1" applyAlignment="1">
      <alignment horizontal="center" wrapText="1"/>
    </xf>
    <xf numFmtId="0" fontId="54" fillId="11" borderId="9" xfId="5" applyFont="1" applyFill="1" applyBorder="1" applyAlignment="1">
      <alignment vertical="center"/>
    </xf>
    <xf numFmtId="0" fontId="54" fillId="11" borderId="11" xfId="5" applyFont="1" applyFill="1" applyBorder="1" applyAlignment="1">
      <alignment vertical="center"/>
    </xf>
    <xf numFmtId="0" fontId="54" fillId="11" borderId="23" xfId="5" applyFont="1" applyFill="1" applyBorder="1" applyAlignment="1">
      <alignment vertical="center"/>
    </xf>
    <xf numFmtId="166" fontId="9" fillId="4" borderId="8" xfId="5" applyNumberFormat="1" applyFont="1" applyFill="1" applyBorder="1" applyAlignment="1">
      <alignment vertical="center"/>
    </xf>
    <xf numFmtId="166" fontId="9" fillId="4" borderId="12" xfId="5" applyNumberFormat="1" applyFont="1" applyFill="1" applyBorder="1" applyAlignment="1">
      <alignment vertical="center"/>
    </xf>
    <xf numFmtId="166" fontId="9" fillId="4" borderId="9" xfId="5" applyNumberFormat="1" applyFont="1" applyFill="1" applyBorder="1" applyAlignment="1"/>
    <xf numFmtId="165" fontId="9" fillId="4" borderId="43" xfId="5" applyNumberFormat="1" applyFont="1" applyFill="1" applyBorder="1" applyAlignment="1"/>
    <xf numFmtId="165" fontId="9" fillId="4" borderId="97" xfId="5" applyNumberFormat="1" applyFont="1" applyFill="1" applyBorder="1" applyAlignment="1"/>
    <xf numFmtId="166" fontId="49" fillId="4" borderId="10" xfId="5" applyNumberFormat="1" applyFont="1" applyFill="1" applyBorder="1" applyAlignment="1">
      <alignment horizontal="centerContinuous" vertical="center"/>
    </xf>
    <xf numFmtId="166" fontId="9" fillId="4" borderId="13" xfId="5" applyNumberFormat="1" applyFont="1" applyFill="1" applyBorder="1" applyAlignment="1">
      <alignment horizontal="right" vertical="center"/>
    </xf>
    <xf numFmtId="166" fontId="9" fillId="4" borderId="11" xfId="5" applyNumberFormat="1" applyFont="1" applyFill="1" applyBorder="1" applyAlignment="1">
      <alignment horizontal="right"/>
    </xf>
    <xf numFmtId="165" fontId="9" fillId="4" borderId="0" xfId="5" applyNumberFormat="1" applyFont="1" applyFill="1" applyBorder="1" applyAlignment="1"/>
    <xf numFmtId="165" fontId="9" fillId="4" borderId="98" xfId="5" applyNumberFormat="1" applyFont="1" applyFill="1" applyBorder="1" applyAlignment="1"/>
    <xf numFmtId="166" fontId="10" fillId="4" borderId="22" xfId="5" applyNumberFormat="1" applyFont="1" applyFill="1" applyBorder="1" applyAlignment="1">
      <alignment horizontal="left" vertical="center"/>
    </xf>
    <xf numFmtId="166" fontId="10" fillId="4" borderId="30" xfId="5" applyNumberFormat="1" applyFont="1" applyFill="1" applyBorder="1" applyAlignment="1">
      <alignment horizontal="left" vertical="center"/>
    </xf>
    <xf numFmtId="166" fontId="9" fillId="4" borderId="23" xfId="5" applyNumberFormat="1" applyFont="1" applyFill="1" applyBorder="1"/>
    <xf numFmtId="165" fontId="9" fillId="4" borderId="23" xfId="5" applyNumberFormat="1" applyFont="1" applyFill="1" applyBorder="1" applyAlignment="1">
      <alignment horizontal="center"/>
    </xf>
    <xf numFmtId="165" fontId="9" fillId="4" borderId="24" xfId="5" applyNumberFormat="1" applyFont="1" applyFill="1" applyBorder="1" applyAlignment="1">
      <alignment horizontal="center"/>
    </xf>
    <xf numFmtId="165" fontId="36" fillId="4" borderId="30" xfId="5" applyNumberFormat="1" applyFont="1" applyFill="1" applyBorder="1" applyAlignment="1">
      <alignment horizontal="right"/>
    </xf>
    <xf numFmtId="170" fontId="9" fillId="4" borderId="99" xfId="1" applyNumberFormat="1" applyFont="1" applyFill="1" applyBorder="1" applyAlignment="1">
      <alignment horizontal="center"/>
    </xf>
    <xf numFmtId="170" fontId="9" fillId="4" borderId="100" xfId="1" applyNumberFormat="1" applyFont="1" applyFill="1" applyBorder="1" applyAlignment="1">
      <alignment horizontal="center"/>
    </xf>
    <xf numFmtId="165" fontId="9" fillId="4" borderId="101" xfId="5" applyNumberFormat="1" applyFont="1" applyFill="1" applyBorder="1" applyAlignment="1">
      <alignment horizontal="right"/>
    </xf>
    <xf numFmtId="165" fontId="36" fillId="4" borderId="54" xfId="5" applyNumberFormat="1" applyFont="1" applyFill="1" applyBorder="1" applyAlignment="1">
      <alignment horizontal="right"/>
    </xf>
    <xf numFmtId="166" fontId="21" fillId="6" borderId="31" xfId="5" applyNumberFormat="1" applyFont="1" applyFill="1" applyBorder="1" applyAlignment="1">
      <alignment horizontal="left" vertical="center"/>
    </xf>
    <xf numFmtId="166" fontId="21" fillId="6" borderId="32" xfId="5" applyNumberFormat="1" applyFont="1" applyFill="1" applyBorder="1" applyAlignment="1">
      <alignment horizontal="left" vertical="center"/>
    </xf>
    <xf numFmtId="166" fontId="21" fillId="6" borderId="33" xfId="5" applyNumberFormat="1" applyFont="1" applyFill="1" applyBorder="1" applyAlignment="1">
      <alignment horizontal="left" vertical="center"/>
    </xf>
    <xf numFmtId="166" fontId="9" fillId="0" borderId="104" xfId="5" applyNumberFormat="1" applyFont="1" applyFill="1" applyBorder="1" applyAlignment="1">
      <alignment horizontal="right" vertical="center" indent="1"/>
    </xf>
    <xf numFmtId="166" fontId="9" fillId="0" borderId="105" xfId="5" applyNumberFormat="1" applyFont="1" applyFill="1" applyBorder="1" applyAlignment="1">
      <alignment horizontal="right" vertical="center" indent="1"/>
    </xf>
    <xf numFmtId="165" fontId="9" fillId="0" borderId="108" xfId="5" applyNumberFormat="1" applyFont="1" applyFill="1" applyBorder="1" applyAlignment="1">
      <alignment horizontal="right" vertical="center" indent="1"/>
    </xf>
    <xf numFmtId="166" fontId="9" fillId="0" borderId="109" xfId="5" applyNumberFormat="1" applyFont="1" applyFill="1" applyBorder="1" applyAlignment="1">
      <alignment horizontal="right" vertical="center"/>
    </xf>
    <xf numFmtId="165" fontId="9" fillId="0" borderId="109" xfId="5" applyNumberFormat="1" applyFont="1" applyFill="1" applyBorder="1" applyAlignment="1">
      <alignment horizontal="right" vertical="center" indent="1"/>
    </xf>
    <xf numFmtId="166" fontId="9" fillId="0" borderId="109" xfId="5" applyNumberFormat="1" applyFont="1" applyFill="1" applyBorder="1" applyAlignment="1">
      <alignment horizontal="right" vertical="center" indent="1"/>
    </xf>
    <xf numFmtId="166" fontId="9" fillId="0" borderId="110" xfId="5" applyNumberFormat="1" applyFont="1" applyFill="1" applyBorder="1" applyAlignment="1">
      <alignment horizontal="right" vertical="center" indent="1"/>
    </xf>
    <xf numFmtId="0" fontId="54" fillId="11" borderId="39" xfId="5" applyFont="1" applyFill="1" applyBorder="1" applyAlignment="1">
      <alignment horizontal="left" vertical="center"/>
    </xf>
    <xf numFmtId="0" fontId="54" fillId="11" borderId="106" xfId="5" applyFont="1" applyFill="1" applyBorder="1" applyAlignment="1">
      <alignment horizontal="left" vertical="center"/>
    </xf>
    <xf numFmtId="0" fontId="10" fillId="0" borderId="47" xfId="5" applyFont="1" applyFill="1" applyBorder="1" applyAlignment="1">
      <alignment horizontal="center" vertical="center"/>
    </xf>
    <xf numFmtId="0" fontId="10" fillId="0" borderId="48" xfId="5" applyFont="1" applyFill="1" applyBorder="1" applyAlignment="1">
      <alignment horizontal="center" vertical="center"/>
    </xf>
    <xf numFmtId="0" fontId="10" fillId="0" borderId="103" xfId="5" applyFont="1" applyFill="1" applyBorder="1" applyAlignment="1">
      <alignment horizontal="center" vertical="center"/>
    </xf>
    <xf numFmtId="0" fontId="55" fillId="11" borderId="34" xfId="5" applyFont="1" applyFill="1" applyBorder="1"/>
    <xf numFmtId="10" fontId="56" fillId="11" borderId="0" xfId="3" applyNumberFormat="1" applyFont="1" applyFill="1" applyBorder="1" applyAlignment="1">
      <alignment horizontal="center" vertical="center"/>
    </xf>
    <xf numFmtId="0" fontId="55" fillId="11" borderId="36" xfId="5" applyFont="1" applyFill="1" applyBorder="1"/>
    <xf numFmtId="10" fontId="56" fillId="11" borderId="37" xfId="3" applyNumberFormat="1" applyFont="1" applyFill="1" applyBorder="1" applyAlignment="1">
      <alignment horizontal="center" vertical="center"/>
    </xf>
    <xf numFmtId="165" fontId="7" fillId="11" borderId="44" xfId="4" applyNumberFormat="1" applyFont="1" applyFill="1" applyBorder="1" applyAlignment="1">
      <alignment horizontal="right"/>
    </xf>
    <xf numFmtId="164" fontId="56" fillId="11" borderId="7" xfId="0" applyNumberFormat="1" applyFont="1" applyFill="1" applyBorder="1"/>
    <xf numFmtId="0" fontId="57" fillId="11" borderId="1" xfId="0" applyFont="1" applyFill="1" applyBorder="1" applyAlignment="1">
      <alignment horizontal="left" vertical="top" wrapText="1"/>
    </xf>
    <xf numFmtId="0" fontId="58" fillId="11" borderId="12" xfId="5" applyFont="1" applyFill="1" applyBorder="1" applyAlignment="1">
      <alignment horizontal="left" vertical="center"/>
    </xf>
    <xf numFmtId="0" fontId="58" fillId="11" borderId="9" xfId="5" applyFont="1" applyFill="1" applyBorder="1" applyAlignment="1">
      <alignment horizontal="left" vertical="center"/>
    </xf>
    <xf numFmtId="172" fontId="58" fillId="11" borderId="12" xfId="5" applyNumberFormat="1" applyFont="1" applyFill="1" applyBorder="1" applyAlignment="1">
      <alignment horizontal="left" vertical="center"/>
    </xf>
    <xf numFmtId="172" fontId="58" fillId="11" borderId="62" xfId="5" applyNumberFormat="1" applyFont="1" applyFill="1" applyBorder="1" applyAlignment="1">
      <alignment horizontal="left" vertical="center"/>
    </xf>
    <xf numFmtId="0" fontId="58" fillId="11" borderId="107" xfId="5" applyFont="1" applyFill="1" applyBorder="1" applyAlignment="1">
      <alignment horizontal="left" vertical="center"/>
    </xf>
    <xf numFmtId="0" fontId="59" fillId="10" borderId="34" xfId="5" applyFont="1" applyFill="1" applyBorder="1" applyAlignment="1">
      <alignment horizontal="left" vertical="center"/>
    </xf>
    <xf numFmtId="0" fontId="59" fillId="10" borderId="36" xfId="5" applyFont="1" applyFill="1" applyBorder="1" applyAlignment="1">
      <alignment horizontal="left" vertical="center"/>
    </xf>
    <xf numFmtId="0" fontId="0" fillId="12" borderId="32" xfId="0" applyNumberFormat="1" applyFont="1" applyFill="1" applyBorder="1" applyAlignment="1" applyProtection="1"/>
    <xf numFmtId="0" fontId="0" fillId="12" borderId="33" xfId="0" applyNumberFormat="1" applyFont="1" applyFill="1" applyBorder="1" applyAlignment="1" applyProtection="1"/>
    <xf numFmtId="0" fontId="0" fillId="12" borderId="0" xfId="0" applyNumberFormat="1" applyFont="1" applyFill="1" applyBorder="1" applyAlignment="1" applyProtection="1"/>
    <xf numFmtId="0" fontId="0" fillId="12" borderId="35" xfId="0" applyNumberFormat="1" applyFont="1" applyFill="1" applyBorder="1" applyAlignment="1" applyProtection="1"/>
    <xf numFmtId="0" fontId="8" fillId="12" borderId="34" xfId="5" applyFont="1" applyFill="1" applyBorder="1"/>
    <xf numFmtId="0" fontId="2" fillId="12" borderId="0" xfId="0" applyNumberFormat="1" applyFont="1" applyFill="1" applyBorder="1" applyAlignment="1" applyProtection="1"/>
    <xf numFmtId="0" fontId="2" fillId="12" borderId="0" xfId="0" applyNumberFormat="1" applyFont="1" applyFill="1" applyBorder="1" applyAlignment="1" applyProtection="1">
      <alignment wrapText="1"/>
    </xf>
    <xf numFmtId="0" fontId="2" fillId="12" borderId="35" xfId="0" applyNumberFormat="1" applyFont="1" applyFill="1" applyBorder="1" applyAlignment="1" applyProtection="1">
      <alignment wrapText="1"/>
    </xf>
    <xf numFmtId="0" fontId="0" fillId="12" borderId="34" xfId="0" applyNumberFormat="1" applyFont="1" applyFill="1" applyBorder="1" applyAlignment="1" applyProtection="1"/>
    <xf numFmtId="3" fontId="28" fillId="13" borderId="34" xfId="5" applyNumberFormat="1" applyFont="1" applyFill="1" applyBorder="1" applyAlignment="1">
      <alignment horizontal="right" vertical="center"/>
    </xf>
    <xf numFmtId="0" fontId="8" fillId="12" borderId="0" xfId="5" applyFill="1" applyBorder="1"/>
    <xf numFmtId="166" fontId="8" fillId="12" borderId="35" xfId="5" applyNumberFormat="1" applyFill="1" applyBorder="1" applyAlignment="1">
      <alignment horizontal="left"/>
    </xf>
    <xf numFmtId="3" fontId="28" fillId="13" borderId="36" xfId="5" applyNumberFormat="1" applyFont="1" applyFill="1" applyBorder="1" applyAlignment="1">
      <alignment horizontal="right" vertical="center"/>
    </xf>
    <xf numFmtId="0" fontId="8" fillId="12" borderId="37" xfId="5" applyFill="1" applyBorder="1"/>
    <xf numFmtId="166" fontId="8" fillId="12" borderId="38" xfId="5" applyNumberFormat="1" applyFill="1" applyBorder="1" applyAlignment="1">
      <alignment horizontal="left"/>
    </xf>
    <xf numFmtId="0" fontId="40" fillId="13" borderId="62" xfId="5" applyFont="1" applyFill="1" applyBorder="1" applyAlignment="1">
      <alignment horizontal="left"/>
    </xf>
    <xf numFmtId="0" fontId="40" fillId="13" borderId="62" xfId="5" applyFont="1" applyFill="1" applyBorder="1" applyAlignment="1">
      <alignment horizontal="right"/>
    </xf>
    <xf numFmtId="0" fontId="40" fillId="13" borderId="63" xfId="5" applyFont="1" applyFill="1" applyBorder="1" applyAlignment="1">
      <alignment horizontal="right"/>
    </xf>
    <xf numFmtId="0" fontId="40" fillId="13" borderId="61" xfId="5" applyFont="1" applyFill="1" applyBorder="1" applyAlignment="1">
      <alignment horizontal="left"/>
    </xf>
    <xf numFmtId="0" fontId="33" fillId="12" borderId="78" xfId="5" applyFont="1" applyFill="1" applyBorder="1" applyAlignment="1">
      <alignment horizontal="left" vertical="center"/>
    </xf>
    <xf numFmtId="0" fontId="33" fillId="12" borderId="79" xfId="5" applyFont="1" applyFill="1" applyBorder="1" applyAlignment="1">
      <alignment horizontal="left" vertical="center"/>
    </xf>
    <xf numFmtId="2" fontId="38" fillId="12" borderId="79" xfId="8" applyNumberFormat="1" applyFont="1" applyFill="1" applyBorder="1" applyAlignment="1">
      <alignment vertical="center"/>
    </xf>
    <xf numFmtId="166" fontId="33" fillId="12" borderId="79" xfId="8" applyNumberFormat="1" applyFont="1" applyFill="1" applyBorder="1" applyAlignment="1">
      <alignment vertical="center"/>
    </xf>
    <xf numFmtId="0" fontId="33" fillId="12" borderId="79" xfId="5" applyFont="1" applyFill="1" applyBorder="1" applyAlignment="1">
      <alignment horizontal="right" vertical="center"/>
    </xf>
    <xf numFmtId="0" fontId="28" fillId="13" borderId="79" xfId="5" applyFont="1" applyFill="1" applyBorder="1" applyAlignment="1">
      <alignment horizontal="left" vertical="center"/>
    </xf>
    <xf numFmtId="0" fontId="1" fillId="0" borderId="34" xfId="0" applyNumberFormat="1" applyFont="1" applyFill="1" applyBorder="1" applyAlignment="1" applyProtection="1"/>
    <xf numFmtId="0" fontId="21" fillId="0" borderId="34" xfId="0" applyFont="1" applyBorder="1"/>
    <xf numFmtId="0" fontId="21" fillId="0" borderId="0" xfId="0" applyFont="1" applyBorder="1"/>
    <xf numFmtId="0" fontId="21" fillId="0" borderId="35" xfId="0" applyFont="1" applyBorder="1"/>
    <xf numFmtId="0" fontId="25" fillId="0" borderId="34" xfId="0" applyFont="1" applyBorder="1"/>
    <xf numFmtId="170" fontId="25" fillId="0" borderId="0" xfId="1" applyNumberFormat="1" applyFont="1" applyBorder="1"/>
    <xf numFmtId="170" fontId="25" fillId="0" borderId="35" xfId="1" applyNumberFormat="1" applyFont="1" applyBorder="1"/>
    <xf numFmtId="0" fontId="8" fillId="7" borderId="0" xfId="5" applyFill="1" applyBorder="1"/>
    <xf numFmtId="0" fontId="21" fillId="0" borderId="30" xfId="0" applyFont="1" applyBorder="1"/>
    <xf numFmtId="0" fontId="21" fillId="0" borderId="111" xfId="0" applyFont="1" applyBorder="1"/>
    <xf numFmtId="0" fontId="21" fillId="0" borderId="40" xfId="0" applyFont="1" applyBorder="1"/>
    <xf numFmtId="0" fontId="31" fillId="4" borderId="112" xfId="5" applyFont="1" applyFill="1" applyBorder="1" applyAlignment="1">
      <alignment horizontal="left"/>
    </xf>
    <xf numFmtId="0" fontId="4" fillId="4" borderId="113" xfId="5" applyFont="1" applyFill="1" applyBorder="1" applyAlignment="1">
      <alignment horizontal="left" indent="1"/>
    </xf>
    <xf numFmtId="170" fontId="21" fillId="0" borderId="0" xfId="0" applyNumberFormat="1" applyFont="1" applyBorder="1"/>
    <xf numFmtId="9" fontId="26" fillId="0" borderId="0" xfId="3" applyFont="1" applyBorder="1"/>
    <xf numFmtId="9" fontId="26" fillId="0" borderId="35" xfId="3" applyFont="1" applyBorder="1"/>
    <xf numFmtId="0" fontId="21" fillId="0" borderId="106" xfId="0" applyNumberFormat="1" applyFont="1" applyFill="1" applyBorder="1" applyAlignment="1" applyProtection="1"/>
    <xf numFmtId="0" fontId="0" fillId="0" borderId="62" xfId="0" applyNumberFormat="1" applyFont="1" applyFill="1" applyBorder="1" applyAlignment="1" applyProtection="1"/>
    <xf numFmtId="0" fontId="0" fillId="0" borderId="114" xfId="0" applyNumberFormat="1" applyFont="1" applyFill="1" applyBorder="1" applyAlignment="1" applyProtection="1"/>
    <xf numFmtId="9" fontId="2" fillId="0" borderId="0" xfId="3" applyFont="1" applyFill="1" applyBorder="1" applyAlignment="1" applyProtection="1">
      <alignment horizontal="left"/>
    </xf>
    <xf numFmtId="176" fontId="2" fillId="0" borderId="62" xfId="0" applyNumberFormat="1" applyFont="1" applyFill="1" applyBorder="1" applyAlignment="1" applyProtection="1"/>
    <xf numFmtId="169" fontId="2" fillId="0" borderId="0" xfId="0" applyNumberFormat="1" applyFont="1" applyFill="1" applyBorder="1" applyAlignment="1" applyProtection="1">
      <alignment horizontal="left"/>
    </xf>
    <xf numFmtId="0" fontId="2" fillId="0" borderId="0" xfId="0" applyNumberFormat="1" applyFont="1" applyFill="1" applyBorder="1" applyAlignment="1" applyProtection="1">
      <alignment horizontal="right" wrapText="1"/>
    </xf>
    <xf numFmtId="0" fontId="1" fillId="0" borderId="18" xfId="0" applyNumberFormat="1" applyFont="1" applyFill="1" applyBorder="1" applyAlignment="1" applyProtection="1"/>
    <xf numFmtId="0" fontId="3" fillId="0" borderId="0" xfId="0" applyNumberFormat="1" applyFont="1" applyFill="1" applyBorder="1" applyAlignment="1" applyProtection="1">
      <alignment horizontal="center"/>
    </xf>
    <xf numFmtId="0" fontId="2" fillId="0" borderId="0" xfId="0" applyNumberFormat="1" applyFont="1" applyFill="1" applyBorder="1" applyAlignment="1" applyProtection="1"/>
    <xf numFmtId="0" fontId="15" fillId="0" borderId="21" xfId="5" applyFont="1" applyFill="1" applyBorder="1" applyAlignment="1">
      <alignment horizontal="center" wrapText="1"/>
    </xf>
    <xf numFmtId="0" fontId="15" fillId="0" borderId="27" xfId="5" applyFont="1" applyFill="1" applyBorder="1" applyAlignment="1">
      <alignment horizontal="center" wrapText="1"/>
    </xf>
    <xf numFmtId="0" fontId="22" fillId="12" borderId="31" xfId="5" applyFont="1" applyFill="1" applyBorder="1" applyAlignment="1">
      <alignment horizontal="center"/>
    </xf>
    <xf numFmtId="0" fontId="22" fillId="12" borderId="32" xfId="5" applyFont="1" applyFill="1" applyBorder="1" applyAlignment="1">
      <alignment horizontal="center"/>
    </xf>
    <xf numFmtId="0" fontId="22" fillId="12" borderId="34" xfId="5" applyFont="1" applyFill="1" applyBorder="1" applyAlignment="1">
      <alignment horizontal="center"/>
    </xf>
    <xf numFmtId="0" fontId="22" fillId="12" borderId="0" xfId="5" applyFont="1" applyFill="1" applyBorder="1" applyAlignment="1">
      <alignment horizontal="center"/>
    </xf>
    <xf numFmtId="0" fontId="24" fillId="12" borderId="31" xfId="0" applyNumberFormat="1" applyFont="1" applyFill="1" applyBorder="1" applyAlignment="1" applyProtection="1">
      <alignment horizontal="center"/>
    </xf>
    <xf numFmtId="0" fontId="24" fillId="12" borderId="32" xfId="0" applyNumberFormat="1" applyFont="1" applyFill="1" applyBorder="1" applyAlignment="1" applyProtection="1">
      <alignment horizontal="center"/>
    </xf>
    <xf numFmtId="0" fontId="24" fillId="12" borderId="34" xfId="0" applyNumberFormat="1" applyFont="1" applyFill="1" applyBorder="1" applyAlignment="1" applyProtection="1">
      <alignment horizontal="center"/>
    </xf>
    <xf numFmtId="0" fontId="24" fillId="12" borderId="0" xfId="0" applyNumberFormat="1" applyFont="1" applyFill="1" applyBorder="1" applyAlignment="1" applyProtection="1">
      <alignment horizontal="center"/>
    </xf>
    <xf numFmtId="0" fontId="11" fillId="4" borderId="31" xfId="0" applyFont="1" applyFill="1" applyBorder="1" applyAlignment="1"/>
    <xf numFmtId="0" fontId="12" fillId="4" borderId="32" xfId="0" applyFont="1" applyFill="1" applyBorder="1" applyAlignment="1"/>
    <xf numFmtId="0" fontId="12" fillId="4" borderId="34" xfId="0" applyFont="1" applyFill="1" applyBorder="1" applyAlignment="1"/>
    <xf numFmtId="0" fontId="12" fillId="4" borderId="0" xfId="0" applyFont="1" applyFill="1" applyBorder="1" applyAlignment="1"/>
    <xf numFmtId="0" fontId="13" fillId="4" borderId="39" xfId="0" applyFont="1" applyFill="1" applyBorder="1" applyAlignment="1">
      <alignment horizontal="center" vertical="center" wrapText="1"/>
    </xf>
    <xf numFmtId="0" fontId="13" fillId="4" borderId="20" xfId="0" applyFont="1" applyFill="1" applyBorder="1" applyAlignment="1">
      <alignment horizontal="center" vertical="center" wrapText="1"/>
    </xf>
    <xf numFmtId="0" fontId="13" fillId="4" borderId="40" xfId="0" applyFont="1" applyFill="1" applyBorder="1" applyAlignment="1">
      <alignment horizontal="center" vertical="center" wrapText="1"/>
    </xf>
    <xf numFmtId="0" fontId="13" fillId="4" borderId="23" xfId="0" applyFont="1" applyFill="1" applyBorder="1" applyAlignment="1">
      <alignment horizontal="center" vertical="center" wrapText="1"/>
    </xf>
    <xf numFmtId="0" fontId="13" fillId="4" borderId="19" xfId="0" applyFont="1" applyFill="1" applyBorder="1" applyAlignment="1">
      <alignment horizontal="center" vertical="center" wrapText="1"/>
    </xf>
    <xf numFmtId="0" fontId="13" fillId="4" borderId="22" xfId="0" applyFont="1" applyFill="1" applyBorder="1" applyAlignment="1">
      <alignment horizontal="center" vertical="center" wrapText="1"/>
    </xf>
    <xf numFmtId="0" fontId="10" fillId="0" borderId="43" xfId="5" applyFont="1" applyBorder="1" applyAlignment="1">
      <alignment horizontal="center" vertical="center" wrapText="1"/>
    </xf>
    <xf numFmtId="0" fontId="10" fillId="0" borderId="30" xfId="5" applyFont="1" applyBorder="1" applyAlignment="1">
      <alignment horizontal="center" vertical="center" wrapText="1"/>
    </xf>
    <xf numFmtId="0" fontId="10" fillId="0" borderId="20" xfId="5" applyFont="1" applyBorder="1" applyAlignment="1">
      <alignment horizontal="center" vertical="center" wrapText="1"/>
    </xf>
    <xf numFmtId="0" fontId="10" fillId="0" borderId="23" xfId="5" applyFont="1" applyBorder="1" applyAlignment="1">
      <alignment horizontal="center" vertical="center" wrapText="1"/>
    </xf>
    <xf numFmtId="0" fontId="53" fillId="0" borderId="20" xfId="5" applyFont="1" applyFill="1" applyBorder="1" applyAlignment="1">
      <alignment horizontal="center" wrapText="1"/>
    </xf>
    <xf numFmtId="0" fontId="53" fillId="0" borderId="42" xfId="5" applyFont="1" applyFill="1" applyBorder="1" applyAlignment="1">
      <alignment horizontal="center" wrapText="1"/>
    </xf>
    <xf numFmtId="0" fontId="53" fillId="0" borderId="19" xfId="5" applyFont="1" applyFill="1" applyBorder="1" applyAlignment="1">
      <alignment horizontal="center" wrapText="1"/>
    </xf>
    <xf numFmtId="0" fontId="53" fillId="0" borderId="17" xfId="5" applyFont="1" applyFill="1" applyBorder="1" applyAlignment="1">
      <alignment horizontal="center" wrapText="1"/>
    </xf>
    <xf numFmtId="0" fontId="54" fillId="11" borderId="39" xfId="5" applyFont="1" applyFill="1" applyBorder="1" applyAlignment="1">
      <alignment wrapText="1"/>
    </xf>
    <xf numFmtId="0" fontId="54" fillId="11" borderId="40" xfId="5" applyFont="1" applyFill="1" applyBorder="1" applyAlignment="1">
      <alignment wrapText="1"/>
    </xf>
    <xf numFmtId="0" fontId="54" fillId="11" borderId="43" xfId="5" applyFont="1" applyFill="1" applyBorder="1" applyAlignment="1">
      <alignment wrapText="1"/>
    </xf>
    <xf numFmtId="0" fontId="54" fillId="11" borderId="30" xfId="5" applyFont="1" applyFill="1" applyBorder="1" applyAlignment="1">
      <alignment wrapText="1"/>
    </xf>
    <xf numFmtId="0" fontId="54" fillId="11" borderId="20" xfId="5" applyFont="1" applyFill="1" applyBorder="1" applyAlignment="1">
      <alignment horizontal="center" wrapText="1"/>
    </xf>
    <xf numFmtId="0" fontId="54" fillId="11" borderId="23" xfId="5" applyFont="1" applyFill="1" applyBorder="1" applyAlignment="1">
      <alignment horizontal="center" wrapText="1"/>
    </xf>
    <xf numFmtId="0" fontId="10" fillId="0" borderId="45" xfId="5" applyFont="1" applyFill="1" applyBorder="1" applyAlignment="1">
      <alignment horizontal="center"/>
    </xf>
    <xf numFmtId="0" fontId="10" fillId="0" borderId="46" xfId="5" applyFont="1" applyFill="1" applyBorder="1" applyAlignment="1">
      <alignment horizontal="center"/>
    </xf>
    <xf numFmtId="0" fontId="10" fillId="0" borderId="102" xfId="5" applyFont="1" applyFill="1" applyBorder="1" applyAlignment="1">
      <alignment horizontal="center"/>
    </xf>
    <xf numFmtId="0" fontId="10" fillId="4" borderId="19" xfId="5" applyFont="1" applyFill="1" applyBorder="1" applyAlignment="1">
      <alignment horizontal="center" vertical="center" wrapText="1"/>
    </xf>
    <xf numFmtId="0" fontId="10" fillId="4" borderId="22" xfId="5" applyFont="1" applyFill="1" applyBorder="1" applyAlignment="1">
      <alignment horizontal="center" vertical="center" wrapText="1"/>
    </xf>
    <xf numFmtId="0" fontId="10" fillId="4" borderId="43" xfId="5" applyFont="1" applyFill="1" applyBorder="1" applyAlignment="1">
      <alignment horizontal="center" vertical="center" wrapText="1"/>
    </xf>
    <xf numFmtId="0" fontId="10" fillId="4" borderId="30" xfId="5" applyFont="1" applyFill="1" applyBorder="1" applyAlignment="1">
      <alignment horizontal="center" vertical="center" wrapText="1"/>
    </xf>
    <xf numFmtId="0" fontId="54" fillId="11" borderId="19" xfId="5" applyFont="1" applyFill="1" applyBorder="1" applyAlignment="1">
      <alignment horizontal="center" vertical="center" wrapText="1"/>
    </xf>
    <xf numFmtId="0" fontId="54" fillId="11" borderId="17" xfId="5" applyFont="1" applyFill="1" applyBorder="1" applyAlignment="1">
      <alignment horizontal="center" vertical="center" wrapText="1"/>
    </xf>
    <xf numFmtId="0" fontId="54" fillId="11" borderId="22" xfId="5" applyFont="1" applyFill="1" applyBorder="1" applyAlignment="1">
      <alignment horizontal="center" vertical="center" wrapText="1"/>
    </xf>
    <xf numFmtId="0" fontId="51" fillId="10" borderId="83" xfId="5" applyFont="1" applyFill="1" applyBorder="1" applyAlignment="1">
      <alignment horizontal="center"/>
    </xf>
    <xf numFmtId="0" fontId="51" fillId="10" borderId="30" xfId="5" applyFont="1" applyFill="1" applyBorder="1" applyAlignment="1">
      <alignment horizontal="center"/>
    </xf>
    <xf numFmtId="0" fontId="51" fillId="10" borderId="84" xfId="5" applyFont="1" applyFill="1" applyBorder="1" applyAlignment="1">
      <alignment horizontal="center"/>
    </xf>
    <xf numFmtId="0" fontId="51" fillId="10" borderId="58" xfId="5" applyFont="1" applyFill="1" applyBorder="1" applyAlignment="1">
      <alignment horizontal="left" vertical="center"/>
    </xf>
    <xf numFmtId="0" fontId="23" fillId="0" borderId="31" xfId="0" applyNumberFormat="1" applyFont="1" applyFill="1" applyBorder="1" applyAlignment="1" applyProtection="1">
      <alignment horizontal="left" vertical="top"/>
    </xf>
    <xf numFmtId="0" fontId="23" fillId="0" borderId="34" xfId="0" applyNumberFormat="1" applyFont="1" applyFill="1" applyBorder="1" applyAlignment="1" applyProtection="1">
      <alignment horizontal="left" vertical="top"/>
    </xf>
    <xf numFmtId="166" fontId="33" fillId="12" borderId="79" xfId="8" applyNumberFormat="1" applyFont="1" applyFill="1" applyBorder="1" applyAlignment="1">
      <alignment vertical="center"/>
    </xf>
    <xf numFmtId="166" fontId="40" fillId="8" borderId="32" xfId="8" applyNumberFormat="1" applyFont="1" applyFill="1" applyBorder="1" applyAlignment="1"/>
    <xf numFmtId="166" fontId="40" fillId="4" borderId="0" xfId="8" applyNumberFormat="1" applyFont="1" applyFill="1" applyBorder="1" applyAlignment="1"/>
    <xf numFmtId="166" fontId="40" fillId="4" borderId="37" xfId="8" applyNumberFormat="1" applyFont="1" applyFill="1" applyBorder="1" applyAlignment="1"/>
    <xf numFmtId="166" fontId="28" fillId="13" borderId="79" xfId="8" applyNumberFormat="1" applyFont="1" applyFill="1" applyBorder="1" applyAlignment="1">
      <alignment vertical="center"/>
    </xf>
    <xf numFmtId="0" fontId="43" fillId="5" borderId="67" xfId="5" applyFont="1" applyFill="1" applyBorder="1" applyAlignment="1">
      <alignment horizontal="left" vertical="center" wrapText="1"/>
    </xf>
    <xf numFmtId="0" fontId="43" fillId="5" borderId="81" xfId="5" applyFont="1" applyFill="1" applyBorder="1" applyAlignment="1">
      <alignment horizontal="left" vertical="center" wrapText="1"/>
    </xf>
    <xf numFmtId="2" fontId="34" fillId="4" borderId="10" xfId="5" applyNumberFormat="1" applyFont="1" applyFill="1" applyBorder="1" applyAlignment="1">
      <alignment horizontal="left" vertical="center"/>
    </xf>
    <xf numFmtId="2" fontId="34" fillId="4" borderId="13" xfId="5" applyNumberFormat="1" applyFont="1" applyFill="1" applyBorder="1" applyAlignment="1">
      <alignment horizontal="left" vertical="center"/>
    </xf>
    <xf numFmtId="2" fontId="34" fillId="4" borderId="11" xfId="5" applyNumberFormat="1" applyFont="1" applyFill="1" applyBorder="1" applyAlignment="1">
      <alignment horizontal="left" vertical="center"/>
    </xf>
    <xf numFmtId="174" fontId="32" fillId="4" borderId="8" xfId="8" applyNumberFormat="1" applyFont="1" applyFill="1" applyBorder="1" applyAlignment="1">
      <alignment horizontal="right" vertical="center"/>
    </xf>
    <xf numFmtId="174" fontId="32" fillId="4" borderId="9" xfId="8" applyNumberFormat="1" applyFont="1" applyFill="1" applyBorder="1" applyAlignment="1">
      <alignment horizontal="right" vertical="center"/>
    </xf>
    <xf numFmtId="174" fontId="32" fillId="4" borderId="10" xfId="8" applyNumberFormat="1" applyFont="1" applyFill="1" applyBorder="1" applyAlignment="1">
      <alignment horizontal="right" vertical="center"/>
    </xf>
    <xf numFmtId="174" fontId="32" fillId="4" borderId="11" xfId="8" applyNumberFormat="1" applyFont="1" applyFill="1" applyBorder="1" applyAlignment="1">
      <alignment horizontal="right" vertical="center"/>
    </xf>
    <xf numFmtId="0" fontId="28" fillId="13" borderId="74" xfId="5" applyFont="1" applyFill="1" applyBorder="1" applyAlignment="1">
      <alignment horizontal="center" vertical="center" wrapText="1"/>
    </xf>
    <xf numFmtId="0" fontId="28" fillId="13" borderId="24" xfId="5" applyFont="1" applyFill="1" applyBorder="1" applyAlignment="1">
      <alignment horizontal="center" vertical="center" wrapText="1"/>
    </xf>
    <xf numFmtId="0" fontId="28" fillId="13" borderId="72" xfId="5" applyFont="1" applyFill="1" applyBorder="1" applyAlignment="1">
      <alignment horizontal="center" vertical="center"/>
    </xf>
    <xf numFmtId="0" fontId="28" fillId="13" borderId="73" xfId="5" applyFont="1" applyFill="1" applyBorder="1" applyAlignment="1">
      <alignment horizontal="center" vertical="center"/>
    </xf>
    <xf numFmtId="0" fontId="28" fillId="13" borderId="22" xfId="5" applyFont="1" applyFill="1" applyBorder="1" applyAlignment="1">
      <alignment horizontal="center" vertical="center"/>
    </xf>
    <xf numFmtId="0" fontId="28" fillId="13" borderId="23" xfId="5" applyFont="1" applyFill="1" applyBorder="1" applyAlignment="1">
      <alignment horizontal="center" vertical="center"/>
    </xf>
    <xf numFmtId="2" fontId="34" fillId="4" borderId="8" xfId="5" applyNumberFormat="1" applyFont="1" applyFill="1" applyBorder="1" applyAlignment="1">
      <alignment horizontal="left" vertical="center"/>
    </xf>
    <xf numFmtId="2" fontId="34" fillId="4" borderId="12" xfId="5" applyNumberFormat="1" applyFont="1" applyFill="1" applyBorder="1" applyAlignment="1">
      <alignment horizontal="left" vertical="center"/>
    </xf>
    <xf numFmtId="2" fontId="34" fillId="4" borderId="9" xfId="5" applyNumberFormat="1" applyFont="1" applyFill="1" applyBorder="1" applyAlignment="1">
      <alignment horizontal="left" vertical="center"/>
    </xf>
    <xf numFmtId="0" fontId="33" fillId="12" borderId="72" xfId="5" applyFont="1" applyFill="1" applyBorder="1" applyAlignment="1">
      <alignment horizontal="left" vertical="center"/>
    </xf>
    <xf numFmtId="0" fontId="33" fillId="12" borderId="32" xfId="5" applyFont="1" applyFill="1" applyBorder="1" applyAlignment="1">
      <alignment horizontal="left" vertical="center"/>
    </xf>
    <xf numFmtId="0" fontId="33" fillId="12" borderId="73" xfId="5" applyFont="1" applyFill="1" applyBorder="1" applyAlignment="1">
      <alignment horizontal="left" vertical="center"/>
    </xf>
    <xf numFmtId="0" fontId="33" fillId="12" borderId="22" xfId="5" applyFont="1" applyFill="1" applyBorder="1" applyAlignment="1">
      <alignment horizontal="left" vertical="center"/>
    </xf>
    <xf numFmtId="0" fontId="33" fillId="12" borderId="30" xfId="5" applyFont="1" applyFill="1" applyBorder="1" applyAlignment="1">
      <alignment horizontal="left" vertical="center"/>
    </xf>
    <xf numFmtId="0" fontId="33" fillId="12" borderId="23" xfId="5" applyFont="1" applyFill="1" applyBorder="1" applyAlignment="1">
      <alignment horizontal="left" vertical="center"/>
    </xf>
    <xf numFmtId="0" fontId="28" fillId="13" borderId="74" xfId="5" applyFont="1" applyFill="1" applyBorder="1" applyAlignment="1">
      <alignment horizontal="center" vertical="center"/>
    </xf>
    <xf numFmtId="0" fontId="28" fillId="13" borderId="24" xfId="5" applyFont="1" applyFill="1" applyBorder="1" applyAlignment="1">
      <alignment horizontal="center" vertical="center"/>
    </xf>
    <xf numFmtId="0" fontId="28" fillId="13" borderId="72" xfId="5" applyFont="1" applyFill="1" applyBorder="1" applyAlignment="1">
      <alignment horizontal="center" vertical="center" wrapText="1"/>
    </xf>
    <xf numFmtId="0" fontId="28" fillId="13" borderId="73" xfId="5" applyFont="1" applyFill="1" applyBorder="1" applyAlignment="1">
      <alignment horizontal="center" vertical="center" wrapText="1"/>
    </xf>
    <xf numFmtId="0" fontId="28" fillId="13" borderId="22" xfId="5" applyFont="1" applyFill="1" applyBorder="1" applyAlignment="1">
      <alignment horizontal="center" vertical="center" wrapText="1"/>
    </xf>
    <xf numFmtId="0" fontId="28" fillId="13" borderId="23" xfId="5" applyFont="1" applyFill="1" applyBorder="1" applyAlignment="1">
      <alignment horizontal="center" vertical="center" wrapText="1"/>
    </xf>
    <xf numFmtId="1" fontId="28" fillId="13" borderId="31" xfId="5" applyNumberFormat="1" applyFont="1" applyFill="1" applyBorder="1" applyAlignment="1">
      <alignment horizontal="center"/>
    </xf>
    <xf numFmtId="1" fontId="28" fillId="13" borderId="32" xfId="5" applyNumberFormat="1" applyFont="1" applyFill="1" applyBorder="1" applyAlignment="1">
      <alignment horizontal="center"/>
    </xf>
    <xf numFmtId="1" fontId="28" fillId="13" borderId="33" xfId="5" applyNumberFormat="1" applyFont="1" applyFill="1" applyBorder="1" applyAlignment="1">
      <alignment horizontal="center"/>
    </xf>
    <xf numFmtId="1" fontId="28" fillId="13" borderId="32" xfId="5" applyNumberFormat="1" applyFont="1" applyFill="1" applyBorder="1" applyAlignment="1">
      <alignment horizontal="left" vertical="center" indent="1"/>
    </xf>
    <xf numFmtId="1" fontId="28" fillId="13" borderId="33" xfId="5" applyNumberFormat="1" applyFont="1" applyFill="1" applyBorder="1" applyAlignment="1">
      <alignment horizontal="left" vertical="center" indent="1"/>
    </xf>
    <xf numFmtId="1" fontId="28" fillId="13" borderId="0" xfId="5" applyNumberFormat="1" applyFont="1" applyFill="1" applyBorder="1" applyAlignment="1">
      <alignment horizontal="left" vertical="center" indent="1"/>
    </xf>
    <xf numFmtId="1" fontId="28" fillId="13" borderId="35" xfId="5" applyNumberFormat="1" applyFont="1" applyFill="1" applyBorder="1" applyAlignment="1">
      <alignment horizontal="left" vertical="center" indent="1"/>
    </xf>
    <xf numFmtId="1" fontId="28" fillId="13" borderId="37" xfId="5" applyNumberFormat="1" applyFont="1" applyFill="1" applyBorder="1" applyAlignment="1">
      <alignment horizontal="left" vertical="center" indent="1"/>
    </xf>
    <xf numFmtId="1" fontId="28" fillId="13" borderId="38" xfId="5" applyNumberFormat="1" applyFont="1" applyFill="1" applyBorder="1" applyAlignment="1">
      <alignment horizontal="left" vertical="center" indent="1"/>
    </xf>
    <xf numFmtId="0" fontId="27" fillId="5" borderId="56" xfId="5" applyFont="1" applyFill="1" applyBorder="1" applyAlignment="1">
      <alignment horizontal="center" vertical="center"/>
    </xf>
    <xf numFmtId="0" fontId="27" fillId="5" borderId="37" xfId="5" applyFont="1" applyFill="1" applyBorder="1" applyAlignment="1">
      <alignment horizontal="center" vertical="center"/>
    </xf>
    <xf numFmtId="0" fontId="27" fillId="5" borderId="57" xfId="5" applyFont="1" applyFill="1" applyBorder="1" applyAlignment="1">
      <alignment horizontal="center" vertical="center"/>
    </xf>
    <xf numFmtId="0" fontId="51" fillId="10" borderId="58" xfId="5" applyFont="1" applyFill="1" applyBorder="1" applyAlignment="1">
      <alignment horizontal="center" vertical="center"/>
    </xf>
    <xf numFmtId="14" fontId="28" fillId="0" borderId="15" xfId="5" applyNumberFormat="1" applyFont="1" applyFill="1" applyBorder="1" applyAlignment="1">
      <alignment horizontal="left" vertical="center"/>
    </xf>
    <xf numFmtId="14" fontId="28" fillId="0" borderId="15" xfId="5" applyNumberFormat="1" applyFont="1" applyFill="1" applyBorder="1" applyAlignment="1">
      <alignment horizontal="center" vertical="center"/>
    </xf>
    <xf numFmtId="0" fontId="40" fillId="13" borderId="62" xfId="5" applyFont="1" applyFill="1" applyBorder="1" applyAlignment="1">
      <alignment horizontal="center" vertical="center"/>
    </xf>
    <xf numFmtId="0" fontId="4" fillId="4" borderId="64" xfId="5" applyFont="1" applyFill="1" applyBorder="1" applyAlignment="1">
      <alignment horizontal="left"/>
    </xf>
    <xf numFmtId="0" fontId="4" fillId="4" borderId="32" xfId="5" applyFont="1" applyFill="1" applyBorder="1" applyAlignment="1">
      <alignment horizontal="left"/>
    </xf>
    <xf numFmtId="0" fontId="28" fillId="4" borderId="32" xfId="5" applyNumberFormat="1" applyFont="1" applyFill="1" applyBorder="1" applyAlignment="1">
      <alignment horizontal="center" vertical="center"/>
    </xf>
    <xf numFmtId="0" fontId="28" fillId="4" borderId="0" xfId="5" applyNumberFormat="1" applyFont="1" applyFill="1" applyBorder="1" applyAlignment="1">
      <alignment horizontal="center" vertical="center"/>
    </xf>
    <xf numFmtId="0" fontId="4" fillId="4" borderId="0" xfId="5" applyFont="1" applyFill="1" applyBorder="1" applyAlignment="1">
      <alignment horizontal="left"/>
    </xf>
  </cellXfs>
  <cellStyles count="10">
    <cellStyle name="Comma" xfId="1" builtinId="3"/>
    <cellStyle name="Currency" xfId="2" builtinId="4"/>
    <cellStyle name="Currency 2" xfId="8" xr:uid="{51EED070-4D60-49CB-8FBE-E06B0D417544}"/>
    <cellStyle name="Good" xfId="4" builtinId="26"/>
    <cellStyle name="Hyperlink" xfId="7" builtinId="8"/>
    <cellStyle name="Normal" xfId="0" builtinId="0"/>
    <cellStyle name="Normal 2" xfId="6" xr:uid="{521DD5EA-CB34-4196-9549-6E3855C94ECF}"/>
    <cellStyle name="Normal 2 2" xfId="9" xr:uid="{C42DF63D-1D92-4888-AA1D-D11994A765A0}"/>
    <cellStyle name="Normal 3" xfId="5" xr:uid="{769AB90E-9CE2-4BEB-9001-F035AFA763E3}"/>
    <cellStyle name="Percent" xfId="3" builtinId="5"/>
  </cellStyles>
  <dxfs count="0"/>
  <tableStyles count="0" defaultTableStyle="TableStyleMedium2" defaultPivotStyle="PivotStyleLight16"/>
  <colors>
    <mruColors>
      <color rgb="FFFFFF99"/>
      <color rgb="FF006600"/>
      <color rgb="FFFFFF66"/>
      <color rgb="FF00CC00"/>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[GasConsumptionByUtility.xlsm]PivotTable2!PivotTable1</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Commercial &amp; Ag NG Consumption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pivotFmt>
      <c:pivotFmt>
        <c:idx val="4"/>
        <c:spPr>
          <a:solidFill>
            <a:schemeClr val="accent6"/>
          </a:solidFill>
          <a:ln>
            <a:noFill/>
          </a:ln>
          <a:effectLst/>
        </c:spPr>
        <c:marker>
          <c:symbol val="none"/>
        </c:marker>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904221347331584"/>
          <c:y val="0.17171296296296296"/>
          <c:w val="0.49318000874890638"/>
          <c:h val="0.77736111111111106"/>
        </c:manualLayout>
      </c:layout>
      <c:barChart>
        <c:barDir val="bar"/>
        <c:grouping val="clustered"/>
        <c:varyColors val="0"/>
        <c:ser>
          <c:idx val="0"/>
          <c:order val="0"/>
          <c:tx>
            <c:strRef>
              <c:f>PivotTable2!$B$4</c:f>
              <c:strCache>
                <c:ptCount val="1"/>
                <c:pt idx="0">
                  <c:v>Sum of Commercial Building</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PivotTable2!$A$5:$A$9</c:f>
              <c:strCache>
                <c:ptCount val="4"/>
                <c:pt idx="0">
                  <c:v>Southern California Gas Company</c:v>
                </c:pt>
                <c:pt idx="1">
                  <c:v>Pacific Gas and Electric Company</c:v>
                </c:pt>
                <c:pt idx="2">
                  <c:v>San Diego Gas and Electric Company</c:v>
                </c:pt>
                <c:pt idx="3">
                  <c:v>Avista Energy</c:v>
                </c:pt>
              </c:strCache>
            </c:strRef>
          </c:cat>
          <c:val>
            <c:numRef>
              <c:f>PivotTable2!$B$5:$B$9</c:f>
              <c:numCache>
                <c:formatCode>0</c:formatCode>
                <c:ptCount val="4"/>
                <c:pt idx="0">
                  <c:v>23416.600281999999</c:v>
                </c:pt>
                <c:pt idx="1">
                  <c:v>23065.736038999999</c:v>
                </c:pt>
                <c:pt idx="2">
                  <c:v>4029.7220730000004</c:v>
                </c:pt>
                <c:pt idx="3">
                  <c:v>73.537087999999983</c:v>
                </c:pt>
              </c:numCache>
            </c:numRef>
          </c:val>
          <c:extLst>
            <c:ext xmlns:c16="http://schemas.microsoft.com/office/drawing/2014/chart" uri="{C3380CC4-5D6E-409C-BE32-E72D297353CC}">
              <c16:uniqueId val="{00000000-85E6-4EB1-8AEE-3F795B9412FE}"/>
            </c:ext>
          </c:extLst>
        </c:ser>
        <c:ser>
          <c:idx val="1"/>
          <c:order val="1"/>
          <c:tx>
            <c:strRef>
              <c:f>PivotTable2!$C$4</c:f>
              <c:strCache>
                <c:ptCount val="1"/>
                <c:pt idx="0">
                  <c:v>Sum of Ag &amp; Water Pump</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PivotTable2!$A$5:$A$9</c:f>
              <c:strCache>
                <c:ptCount val="4"/>
                <c:pt idx="0">
                  <c:v>Southern California Gas Company</c:v>
                </c:pt>
                <c:pt idx="1">
                  <c:v>Pacific Gas and Electric Company</c:v>
                </c:pt>
                <c:pt idx="2">
                  <c:v>San Diego Gas and Electric Company</c:v>
                </c:pt>
                <c:pt idx="3">
                  <c:v>Avista Energy</c:v>
                </c:pt>
              </c:strCache>
            </c:strRef>
          </c:cat>
          <c:val>
            <c:numRef>
              <c:f>PivotTable2!$C$5:$C$9</c:f>
              <c:numCache>
                <c:formatCode>0</c:formatCode>
                <c:ptCount val="4"/>
                <c:pt idx="0">
                  <c:v>2023.079215</c:v>
                </c:pt>
                <c:pt idx="1">
                  <c:v>1383.5804949999997</c:v>
                </c:pt>
                <c:pt idx="2">
                  <c:v>159.334844</c:v>
                </c:pt>
                <c:pt idx="3">
                  <c:v>1.608895</c:v>
                </c:pt>
              </c:numCache>
            </c:numRef>
          </c:val>
          <c:extLst>
            <c:ext xmlns:c16="http://schemas.microsoft.com/office/drawing/2014/chart" uri="{C3380CC4-5D6E-409C-BE32-E72D297353CC}">
              <c16:uniqueId val="{00000001-85E6-4EB1-8AEE-3F795B9412FE}"/>
            </c:ext>
          </c:extLst>
        </c:ser>
        <c:dLbls>
          <c:showLegendKey val="0"/>
          <c:showVal val="0"/>
          <c:showCatName val="0"/>
          <c:showSerName val="0"/>
          <c:showPercent val="0"/>
          <c:showBubbleSize val="0"/>
        </c:dLbls>
        <c:gapWidth val="43"/>
        <c:axId val="508995016"/>
        <c:axId val="508995344"/>
      </c:barChart>
      <c:catAx>
        <c:axId val="5089950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344"/>
        <c:crosses val="autoZero"/>
        <c:auto val="1"/>
        <c:lblAlgn val="ctr"/>
        <c:lblOffset val="100"/>
        <c:noMultiLvlLbl val="0"/>
      </c:catAx>
      <c:valAx>
        <c:axId val="508995344"/>
        <c:scaling>
          <c:orientation val="minMax"/>
        </c:scaling>
        <c:delete val="1"/>
        <c:axPos val="t"/>
        <c:numFmt formatCode="0" sourceLinked="1"/>
        <c:majorTickMark val="none"/>
        <c:minorTickMark val="none"/>
        <c:tickLblPos val="nextTo"/>
        <c:crossAx val="508995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[GasConsumptionByUtility.xlsm]PivotTable3!PivotTable1</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Distribution </a:t>
            </a:r>
            <a:r>
              <a:rPr lang="en-US" baseline="0"/>
              <a:t>of Therms Consumed in Commercial Sector</a:t>
            </a:r>
            <a:endParaRPr lang="en-US"/>
          </a:p>
        </c:rich>
      </c:tx>
      <c:layout>
        <c:manualLayout>
          <c:xMode val="edge"/>
          <c:yMode val="edge"/>
          <c:x val="0.16014367816091957"/>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s>
    <c:plotArea>
      <c:layout>
        <c:manualLayout>
          <c:layoutTarget val="inner"/>
          <c:xMode val="edge"/>
          <c:yMode val="edge"/>
          <c:x val="9.0960510278095583E-2"/>
          <c:y val="0.20519706929436995"/>
          <c:w val="0.62233468679662907"/>
          <c:h val="0.7035086574429259"/>
        </c:manualLayout>
      </c:layout>
      <c:pieChart>
        <c:varyColors val="1"/>
        <c:ser>
          <c:idx val="0"/>
          <c:order val="0"/>
          <c:tx>
            <c:strRef>
              <c:f>PivotTable3!$B$4</c:f>
              <c:strCache>
                <c:ptCount val="1"/>
                <c:pt idx="0">
                  <c:v>Total</c:v>
                </c:pt>
              </c:strCache>
            </c:strRef>
          </c:tx>
          <c:explosion val="23"/>
          <c:dPt>
            <c:idx val="0"/>
            <c:bubble3D val="0"/>
            <c:spPr>
              <a:solidFill>
                <a:schemeClr val="accent1"/>
              </a:solidFill>
              <a:ln>
                <a:noFill/>
              </a:ln>
              <a:effectLst/>
            </c:spPr>
            <c:extLst>
              <c:ext xmlns:c16="http://schemas.microsoft.com/office/drawing/2014/chart" uri="{C3380CC4-5D6E-409C-BE32-E72D297353CC}">
                <c16:uniqueId val="{00000001-BADA-418F-AD7C-2E5B478AF862}"/>
              </c:ext>
            </c:extLst>
          </c:dPt>
          <c:dPt>
            <c:idx val="1"/>
            <c:bubble3D val="0"/>
            <c:spPr>
              <a:solidFill>
                <a:schemeClr val="accent2"/>
              </a:solidFill>
              <a:ln>
                <a:noFill/>
              </a:ln>
              <a:effectLst/>
            </c:spPr>
            <c:extLst>
              <c:ext xmlns:c16="http://schemas.microsoft.com/office/drawing/2014/chart" uri="{C3380CC4-5D6E-409C-BE32-E72D297353CC}">
                <c16:uniqueId val="{00000003-BADA-418F-AD7C-2E5B478AF862}"/>
              </c:ext>
            </c:extLst>
          </c:dPt>
          <c:dPt>
            <c:idx val="2"/>
            <c:bubble3D val="0"/>
            <c:spPr>
              <a:solidFill>
                <a:schemeClr val="accent3"/>
              </a:solidFill>
              <a:ln>
                <a:noFill/>
              </a:ln>
              <a:effectLst/>
            </c:spPr>
            <c:extLst>
              <c:ext xmlns:c16="http://schemas.microsoft.com/office/drawing/2014/chart" uri="{C3380CC4-5D6E-409C-BE32-E72D297353CC}">
                <c16:uniqueId val="{00000005-BADA-418F-AD7C-2E5B478AF862}"/>
              </c:ext>
            </c:extLst>
          </c:dPt>
          <c:dPt>
            <c:idx val="3"/>
            <c:bubble3D val="0"/>
            <c:spPr>
              <a:solidFill>
                <a:schemeClr val="accent4"/>
              </a:solidFill>
              <a:ln>
                <a:noFill/>
              </a:ln>
              <a:effectLst/>
            </c:spPr>
            <c:extLst>
              <c:ext xmlns:c16="http://schemas.microsoft.com/office/drawing/2014/chart" uri="{C3380CC4-5D6E-409C-BE32-E72D297353CC}">
                <c16:uniqueId val="{00000007-BADA-418F-AD7C-2E5B478AF862}"/>
              </c:ext>
            </c:extLst>
          </c:dPt>
          <c:dPt>
            <c:idx val="4"/>
            <c:bubble3D val="0"/>
            <c:spPr>
              <a:solidFill>
                <a:schemeClr val="accent5"/>
              </a:solidFill>
              <a:ln>
                <a:noFill/>
              </a:ln>
              <a:effectLst/>
            </c:spPr>
            <c:extLst>
              <c:ext xmlns:c16="http://schemas.microsoft.com/office/drawing/2014/chart" uri="{C3380CC4-5D6E-409C-BE32-E72D297353CC}">
                <c16:uniqueId val="{00000009-BADA-418F-AD7C-2E5B478AF862}"/>
              </c:ext>
            </c:extLst>
          </c:dPt>
          <c:dPt>
            <c:idx val="5"/>
            <c:bubble3D val="0"/>
            <c:spPr>
              <a:solidFill>
                <a:schemeClr val="accent6"/>
              </a:solidFill>
              <a:ln>
                <a:noFill/>
              </a:ln>
              <a:effectLst/>
            </c:spPr>
            <c:extLst>
              <c:ext xmlns:c16="http://schemas.microsoft.com/office/drawing/2014/chart" uri="{C3380CC4-5D6E-409C-BE32-E72D297353CC}">
                <c16:uniqueId val="{0000000B-BADA-418F-AD7C-2E5B478AF862}"/>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PivotTable3!$A$5:$A$11</c:f>
              <c:strCache>
                <c:ptCount val="6"/>
                <c:pt idx="0">
                  <c:v>850-950</c:v>
                </c:pt>
                <c:pt idx="1">
                  <c:v>750-850</c:v>
                </c:pt>
                <c:pt idx="2">
                  <c:v>650-750</c:v>
                </c:pt>
                <c:pt idx="3">
                  <c:v>50-150</c:v>
                </c:pt>
                <c:pt idx="4">
                  <c:v>150-250</c:v>
                </c:pt>
                <c:pt idx="5">
                  <c:v>&lt;50</c:v>
                </c:pt>
              </c:strCache>
            </c:strRef>
          </c:cat>
          <c:val>
            <c:numRef>
              <c:f>PivotTable3!$B$5:$B$11</c:f>
              <c:numCache>
                <c:formatCode>0.00%</c:formatCode>
                <c:ptCount val="6"/>
                <c:pt idx="0">
                  <c:v>0.28282828282828282</c:v>
                </c:pt>
                <c:pt idx="1">
                  <c:v>0.13131313131313133</c:v>
                </c:pt>
                <c:pt idx="2">
                  <c:v>0.15151515151515152</c:v>
                </c:pt>
                <c:pt idx="3">
                  <c:v>0.13131313131313133</c:v>
                </c:pt>
                <c:pt idx="4">
                  <c:v>0.15151515151515152</c:v>
                </c:pt>
                <c:pt idx="5">
                  <c:v>0.15151515151515152</c:v>
                </c:pt>
              </c:numCache>
            </c:numRef>
          </c:val>
          <c:extLst>
            <c:ext xmlns:c16="http://schemas.microsoft.com/office/drawing/2014/chart" uri="{C3380CC4-5D6E-409C-BE32-E72D297353CC}">
              <c16:uniqueId val="{0000000C-BADA-418F-AD7C-2E5B478AF86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[GasConsumptionByUtility.xlsm]PivotTable4!PivotTable1</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Count of utilities since 1990</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pivotFmt>
      <c:pivotFmt>
        <c:idx val="4"/>
        <c:spPr>
          <a:solidFill>
            <a:schemeClr val="accent2"/>
          </a:solidFill>
          <a:ln>
            <a:noFill/>
          </a:ln>
          <a:effectLst/>
        </c:spPr>
        <c:marker>
          <c:symbol val="none"/>
        </c:marker>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pivotFmt>
      <c:pivotFmt>
        <c:idx val="9"/>
        <c:spPr>
          <a:solidFill>
            <a:schemeClr val="accent2"/>
          </a:solidFill>
          <a:ln>
            <a:noFill/>
          </a:ln>
          <a:effectLst/>
        </c:spPr>
        <c:marker>
          <c:symbol val="none"/>
        </c:marker>
      </c:pivotFmt>
      <c:pivotFmt>
        <c:idx val="10"/>
        <c:spPr>
          <a:solidFill>
            <a:schemeClr val="accent2"/>
          </a:solidFill>
          <a:ln>
            <a:noFill/>
          </a:ln>
          <a:effectLst/>
        </c:spPr>
        <c:marker>
          <c:symbol val="none"/>
        </c:marker>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pivotFmt>
      <c:pivotFmt>
        <c:idx val="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682007693313512"/>
          <c:y val="0.13785043536224639"/>
          <c:w val="0.69924081738354171"/>
          <c:h val="0.81122359705036873"/>
        </c:manualLayout>
      </c:layout>
      <c:barChart>
        <c:barDir val="bar"/>
        <c:grouping val="clustered"/>
        <c:varyColors val="0"/>
        <c:ser>
          <c:idx val="0"/>
          <c:order val="0"/>
          <c:tx>
            <c:strRef>
              <c:f>PivotTable4!$B$4</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PivotTable4!$A$5:$A$33</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PivotTable4!$B$5:$B$33</c:f>
              <c:numCache>
                <c:formatCode>General</c:formatCode>
                <c:ptCount val="28"/>
                <c:pt idx="0">
                  <c:v>4</c:v>
                </c:pt>
                <c:pt idx="1">
                  <c:v>4</c:v>
                </c:pt>
                <c:pt idx="2">
                  <c:v>4</c:v>
                </c:pt>
                <c:pt idx="3">
                  <c:v>4</c:v>
                </c:pt>
                <c:pt idx="4">
                  <c:v>4</c:v>
                </c:pt>
                <c:pt idx="5">
                  <c:v>4</c:v>
                </c:pt>
                <c:pt idx="6">
                  <c:v>4</c:v>
                </c:pt>
                <c:pt idx="7">
                  <c:v>4</c:v>
                </c:pt>
                <c:pt idx="8">
                  <c:v>4</c:v>
                </c:pt>
                <c:pt idx="9">
                  <c:v>4</c:v>
                </c:pt>
                <c:pt idx="10">
                  <c:v>3</c:v>
                </c:pt>
                <c:pt idx="11">
                  <c:v>4</c:v>
                </c:pt>
                <c:pt idx="12">
                  <c:v>4</c:v>
                </c:pt>
                <c:pt idx="13">
                  <c:v>4</c:v>
                </c:pt>
                <c:pt idx="14">
                  <c:v>4</c:v>
                </c:pt>
                <c:pt idx="15">
                  <c:v>4</c:v>
                </c:pt>
                <c:pt idx="16">
                  <c:v>3</c:v>
                </c:pt>
                <c:pt idx="17">
                  <c:v>3</c:v>
                </c:pt>
                <c:pt idx="18">
                  <c:v>3</c:v>
                </c:pt>
                <c:pt idx="19">
                  <c:v>3</c:v>
                </c:pt>
                <c:pt idx="20">
                  <c:v>3</c:v>
                </c:pt>
                <c:pt idx="21">
                  <c:v>3</c:v>
                </c:pt>
                <c:pt idx="22">
                  <c:v>3</c:v>
                </c:pt>
                <c:pt idx="23">
                  <c:v>3</c:v>
                </c:pt>
                <c:pt idx="24">
                  <c:v>3</c:v>
                </c:pt>
                <c:pt idx="25">
                  <c:v>3</c:v>
                </c:pt>
                <c:pt idx="26">
                  <c:v>3</c:v>
                </c:pt>
                <c:pt idx="27">
                  <c:v>3</c:v>
                </c:pt>
              </c:numCache>
            </c:numRef>
          </c:val>
          <c:extLst>
            <c:ext xmlns:c16="http://schemas.microsoft.com/office/drawing/2014/chart" uri="{C3380CC4-5D6E-409C-BE32-E72D297353CC}">
              <c16:uniqueId val="{00000000-59AC-463A-9610-1AD78B7D6563}"/>
            </c:ext>
          </c:extLst>
        </c:ser>
        <c:dLbls>
          <c:dLblPos val="outEnd"/>
          <c:showLegendKey val="0"/>
          <c:showVal val="1"/>
          <c:showCatName val="0"/>
          <c:showSerName val="0"/>
          <c:showPercent val="0"/>
          <c:showBubbleSize val="0"/>
        </c:dLbls>
        <c:gapWidth val="43"/>
        <c:axId val="508995016"/>
        <c:axId val="508995344"/>
      </c:barChart>
      <c:catAx>
        <c:axId val="5089950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344"/>
        <c:crosses val="autoZero"/>
        <c:auto val="1"/>
        <c:lblAlgn val="ctr"/>
        <c:lblOffset val="100"/>
        <c:noMultiLvlLbl val="0"/>
      </c:catAx>
      <c:valAx>
        <c:axId val="508995344"/>
        <c:scaling>
          <c:orientation val="minMax"/>
        </c:scaling>
        <c:delete val="1"/>
        <c:axPos val="t"/>
        <c:numFmt formatCode="General" sourceLinked="1"/>
        <c:majorTickMark val="none"/>
        <c:minorTickMark val="none"/>
        <c:tickLblPos val="nextTo"/>
        <c:crossAx val="508995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[GasConsumptionByUtility.xlsm]PivotTable1!PivotTable1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Mining &amp; Industry</a:t>
            </a:r>
            <a:r>
              <a:rPr lang="en-US" baseline="0"/>
              <a:t> NG Consumption by Utility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904221347331584"/>
          <c:y val="0.17171296296296296"/>
          <c:w val="0.49318000874890638"/>
          <c:h val="0.77736111111111106"/>
        </c:manualLayout>
      </c:layout>
      <c:barChart>
        <c:barDir val="bar"/>
        <c:grouping val="clustered"/>
        <c:varyColors val="0"/>
        <c:ser>
          <c:idx val="0"/>
          <c:order val="0"/>
          <c:tx>
            <c:strRef>
              <c:f>PivotTable1!$B$4</c:f>
              <c:strCache>
                <c:ptCount val="1"/>
                <c:pt idx="0">
                  <c:v>Sum of Mining &amp; Construction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PivotTable1!$A$5:$A$9</c:f>
              <c:strCache>
                <c:ptCount val="4"/>
                <c:pt idx="0">
                  <c:v>Southern California Gas Company</c:v>
                </c:pt>
                <c:pt idx="1">
                  <c:v>Pacific Gas and Electric Company</c:v>
                </c:pt>
                <c:pt idx="2">
                  <c:v>San Diego Gas and Electric Company</c:v>
                </c:pt>
                <c:pt idx="3">
                  <c:v>Avista Energy</c:v>
                </c:pt>
              </c:strCache>
            </c:strRef>
          </c:cat>
          <c:val>
            <c:numRef>
              <c:f>PivotTable1!$B$5:$B$9</c:f>
              <c:numCache>
                <c:formatCode>0</c:formatCode>
                <c:ptCount val="4"/>
                <c:pt idx="0">
                  <c:v>11331.435675000001</c:v>
                </c:pt>
                <c:pt idx="1">
                  <c:v>1393.2202720000003</c:v>
                </c:pt>
                <c:pt idx="2">
                  <c:v>99.901960000000003</c:v>
                </c:pt>
                <c:pt idx="3">
                  <c:v>0.37206000000000006</c:v>
                </c:pt>
              </c:numCache>
            </c:numRef>
          </c:val>
          <c:extLst>
            <c:ext xmlns:c16="http://schemas.microsoft.com/office/drawing/2014/chart" uri="{C3380CC4-5D6E-409C-BE32-E72D297353CC}">
              <c16:uniqueId val="{00000000-FB10-40C9-93ED-1B0C69CDF30F}"/>
            </c:ext>
          </c:extLst>
        </c:ser>
        <c:ser>
          <c:idx val="1"/>
          <c:order val="1"/>
          <c:tx>
            <c:strRef>
              <c:f>PivotTable1!$C$4</c:f>
              <c:strCache>
                <c:ptCount val="1"/>
                <c:pt idx="0">
                  <c:v>Sum of Industry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PivotTable1!$A$5:$A$9</c:f>
              <c:strCache>
                <c:ptCount val="4"/>
                <c:pt idx="0">
                  <c:v>Southern California Gas Company</c:v>
                </c:pt>
                <c:pt idx="1">
                  <c:v>Pacific Gas and Electric Company</c:v>
                </c:pt>
                <c:pt idx="2">
                  <c:v>San Diego Gas and Electric Company</c:v>
                </c:pt>
                <c:pt idx="3">
                  <c:v>Avista Energy</c:v>
                </c:pt>
              </c:strCache>
            </c:strRef>
          </c:cat>
          <c:val>
            <c:numRef>
              <c:f>PivotTable1!$C$5:$C$9</c:f>
              <c:numCache>
                <c:formatCode>0</c:formatCode>
                <c:ptCount val="4"/>
                <c:pt idx="0">
                  <c:v>40462.928243999995</c:v>
                </c:pt>
                <c:pt idx="1">
                  <c:v>46304.993529999992</c:v>
                </c:pt>
                <c:pt idx="2">
                  <c:v>862.43177099999991</c:v>
                </c:pt>
                <c:pt idx="3">
                  <c:v>0.34634700000000002</c:v>
                </c:pt>
              </c:numCache>
            </c:numRef>
          </c:val>
          <c:extLst>
            <c:ext xmlns:c16="http://schemas.microsoft.com/office/drawing/2014/chart" uri="{C3380CC4-5D6E-409C-BE32-E72D297353CC}">
              <c16:uniqueId val="{00000001-FB10-40C9-93ED-1B0C69CDF30F}"/>
            </c:ext>
          </c:extLst>
        </c:ser>
        <c:dLbls>
          <c:dLblPos val="outEnd"/>
          <c:showLegendKey val="0"/>
          <c:showVal val="1"/>
          <c:showCatName val="0"/>
          <c:showSerName val="0"/>
          <c:showPercent val="0"/>
          <c:showBubbleSize val="0"/>
        </c:dLbls>
        <c:gapWidth val="25"/>
        <c:axId val="508995016"/>
        <c:axId val="508995344"/>
      </c:barChart>
      <c:catAx>
        <c:axId val="5089950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344"/>
        <c:crosses val="autoZero"/>
        <c:auto val="1"/>
        <c:lblAlgn val="ctr"/>
        <c:lblOffset val="100"/>
        <c:noMultiLvlLbl val="0"/>
      </c:catAx>
      <c:valAx>
        <c:axId val="508995344"/>
        <c:scaling>
          <c:orientation val="minMax"/>
        </c:scaling>
        <c:delete val="1"/>
        <c:axPos val="t"/>
        <c:numFmt formatCode="0" sourceLinked="1"/>
        <c:majorTickMark val="none"/>
        <c:minorTickMark val="none"/>
        <c:tickLblPos val="nextTo"/>
        <c:crossAx val="508995016"/>
        <c:crosses val="autoZero"/>
        <c:crossBetween val="between"/>
      </c:valAx>
      <c:spPr>
        <a:noFill/>
        <a:ln>
          <a:noFill/>
        </a:ln>
        <a:effectLst/>
      </c:spPr>
    </c:plotArea>
    <c:legend>
      <c:legendPos val="r"/>
      <c:layout>
        <c:manualLayout>
          <c:xMode val="edge"/>
          <c:yMode val="edge"/>
          <c:x val="0.74452841411820692"/>
          <c:y val="0.70449001166520853"/>
          <c:w val="0.25547153334805112"/>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[GasConsumptionByUtility.xlsm]TimeSeries!PivotTable1</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Sum</a:t>
            </a:r>
            <a:r>
              <a:rPr lang="en-US" baseline="0"/>
              <a:t> of Industry Sector NG Consumption S</a:t>
            </a:r>
            <a:r>
              <a:rPr lang="en-US"/>
              <a:t>ince 1990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pivotFmt>
      <c:pivotFmt>
        <c:idx val="9"/>
      </c:pivotFmt>
      <c:pivotFmt>
        <c:idx val="10"/>
      </c:pivotFmt>
      <c:pivotFmt>
        <c:idx val="1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circle"/>
          <c:size val="5"/>
          <c:spPr>
            <a:solidFill>
              <a:schemeClr val="accent1"/>
            </a:solidFill>
            <a:ln w="9525">
              <a:solidFill>
                <a:schemeClr val="accent1"/>
              </a:solidFill>
            </a:ln>
            <a:effectLst/>
          </c:spPr>
        </c:marker>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manualLayout>
          <c:layoutTarget val="inner"/>
          <c:xMode val="edge"/>
          <c:yMode val="edge"/>
          <c:x val="0.10580994378746322"/>
          <c:y val="0.13785043536224639"/>
          <c:w val="0.80025095052921358"/>
          <c:h val="0.65441291142864189"/>
        </c:manualLayout>
      </c:layout>
      <c:lineChart>
        <c:grouping val="standard"/>
        <c:varyColors val="0"/>
        <c:ser>
          <c:idx val="0"/>
          <c:order val="0"/>
          <c:tx>
            <c:strRef>
              <c:f>TimeSeries!$B$4</c:f>
              <c:strCache>
                <c:ptCount val="1"/>
                <c:pt idx="0">
                  <c:v>Sum of Industry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strRef>
              <c:f>TimeSeries!$A$5:$A$33</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TimeSeries!$B$5:$B$33</c:f>
              <c:numCache>
                <c:formatCode>0</c:formatCode>
                <c:ptCount val="28"/>
                <c:pt idx="0">
                  <c:v>2752.6388160000001</c:v>
                </c:pt>
                <c:pt idx="1">
                  <c:v>2567.9918459999999</c:v>
                </c:pt>
                <c:pt idx="2">
                  <c:v>2412.5642710000002</c:v>
                </c:pt>
                <c:pt idx="3">
                  <c:v>2522.8891049999997</c:v>
                </c:pt>
                <c:pt idx="4">
                  <c:v>2617.4766629999995</c:v>
                </c:pt>
                <c:pt idx="5">
                  <c:v>2758.6883180000004</c:v>
                </c:pt>
                <c:pt idx="6">
                  <c:v>3370.7979190000001</c:v>
                </c:pt>
                <c:pt idx="7">
                  <c:v>3394.1751439999998</c:v>
                </c:pt>
                <c:pt idx="8">
                  <c:v>3350.6687299999999</c:v>
                </c:pt>
                <c:pt idx="9">
                  <c:v>3336.518916</c:v>
                </c:pt>
                <c:pt idx="10">
                  <c:v>3433.7945420000001</c:v>
                </c:pt>
                <c:pt idx="11">
                  <c:v>3241.050718</c:v>
                </c:pt>
                <c:pt idx="12">
                  <c:v>2975.120813</c:v>
                </c:pt>
                <c:pt idx="13">
                  <c:v>2908.3621949999997</c:v>
                </c:pt>
                <c:pt idx="14">
                  <c:v>3494.965209</c:v>
                </c:pt>
                <c:pt idx="15">
                  <c:v>3192.3687150000001</c:v>
                </c:pt>
                <c:pt idx="16">
                  <c:v>3238.4212389999998</c:v>
                </c:pt>
                <c:pt idx="17">
                  <c:v>3030.615605</c:v>
                </c:pt>
                <c:pt idx="18">
                  <c:v>3165.1528269999999</c:v>
                </c:pt>
                <c:pt idx="19">
                  <c:v>2987.5961950000001</c:v>
                </c:pt>
                <c:pt idx="20">
                  <c:v>3134.8668109999999</c:v>
                </c:pt>
                <c:pt idx="21">
                  <c:v>3208.7534029999997</c:v>
                </c:pt>
                <c:pt idx="22">
                  <c:v>3310.3829960000003</c:v>
                </c:pt>
                <c:pt idx="23">
                  <c:v>3367.4796919999999</c:v>
                </c:pt>
                <c:pt idx="24">
                  <c:v>3462.7773159999997</c:v>
                </c:pt>
                <c:pt idx="25">
                  <c:v>3400.7663579999999</c:v>
                </c:pt>
                <c:pt idx="26">
                  <c:v>3555.8116499999996</c:v>
                </c:pt>
                <c:pt idx="27">
                  <c:v>3438.0038800000002</c:v>
                </c:pt>
              </c:numCache>
            </c:numRef>
          </c:val>
          <c:smooth val="0"/>
          <c:extLst>
            <c:ext xmlns:c16="http://schemas.microsoft.com/office/drawing/2014/chart" uri="{C3380CC4-5D6E-409C-BE32-E72D297353CC}">
              <c16:uniqueId val="{00000001-A318-4BE5-9472-E19D9FE85619}"/>
            </c:ext>
          </c:extLst>
        </c:ser>
        <c:ser>
          <c:idx val="1"/>
          <c:order val="1"/>
          <c:tx>
            <c:strRef>
              <c:f>TimeSeries!$C$4</c:f>
              <c:strCache>
                <c:ptCount val="1"/>
                <c:pt idx="0">
                  <c:v>Sum of Commercial Building</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TimeSeries!$A$5:$A$33</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TimeSeries!$C$5:$C$33</c:f>
              <c:numCache>
                <c:formatCode>General</c:formatCode>
                <c:ptCount val="28"/>
                <c:pt idx="0">
                  <c:v>1598.561391</c:v>
                </c:pt>
                <c:pt idx="1">
                  <c:v>1601.775592</c:v>
                </c:pt>
                <c:pt idx="2">
                  <c:v>1521.1414110000001</c:v>
                </c:pt>
                <c:pt idx="3">
                  <c:v>1554.792661</c:v>
                </c:pt>
                <c:pt idx="4">
                  <c:v>1637.6984870000001</c:v>
                </c:pt>
                <c:pt idx="5">
                  <c:v>1546.2518380000001</c:v>
                </c:pt>
                <c:pt idx="6">
                  <c:v>1583.8602980000001</c:v>
                </c:pt>
                <c:pt idx="7">
                  <c:v>1584.5835850000001</c:v>
                </c:pt>
                <c:pt idx="8">
                  <c:v>1773.5312250000002</c:v>
                </c:pt>
                <c:pt idx="9">
                  <c:v>1846.3046189999998</c:v>
                </c:pt>
                <c:pt idx="10">
                  <c:v>1823.403478</c:v>
                </c:pt>
                <c:pt idx="11">
                  <c:v>1737.212239</c:v>
                </c:pt>
                <c:pt idx="12">
                  <c:v>1840.3288009999999</c:v>
                </c:pt>
                <c:pt idx="13">
                  <c:v>1895.9894530000001</c:v>
                </c:pt>
                <c:pt idx="14">
                  <c:v>2028.153444</c:v>
                </c:pt>
                <c:pt idx="15">
                  <c:v>1961.241297</c:v>
                </c:pt>
                <c:pt idx="16">
                  <c:v>1955.2272400000002</c:v>
                </c:pt>
                <c:pt idx="17">
                  <c:v>1938.9374539999999</c:v>
                </c:pt>
                <c:pt idx="18">
                  <c:v>1932.429862</c:v>
                </c:pt>
                <c:pt idx="19">
                  <c:v>1892.6883589999998</c:v>
                </c:pt>
                <c:pt idx="20">
                  <c:v>1955.0019979999997</c:v>
                </c:pt>
                <c:pt idx="21">
                  <c:v>1969.066129</c:v>
                </c:pt>
                <c:pt idx="22">
                  <c:v>1962.4488000000001</c:v>
                </c:pt>
                <c:pt idx="23">
                  <c:v>2000.9124650000001</c:v>
                </c:pt>
                <c:pt idx="24">
                  <c:v>1804.8762320000001</c:v>
                </c:pt>
                <c:pt idx="25">
                  <c:v>1821.3073909999998</c:v>
                </c:pt>
                <c:pt idx="26">
                  <c:v>1893.954772</c:v>
                </c:pt>
                <c:pt idx="27">
                  <c:v>1923.9149609999999</c:v>
                </c:pt>
              </c:numCache>
            </c:numRef>
          </c:val>
          <c:smooth val="0"/>
          <c:extLst>
            <c:ext xmlns:c16="http://schemas.microsoft.com/office/drawing/2014/chart" uri="{C3380CC4-5D6E-409C-BE32-E72D297353CC}">
              <c16:uniqueId val="{00000002-A318-4BE5-9472-E19D9FE85619}"/>
            </c:ext>
          </c:extLst>
        </c:ser>
        <c:dLbls>
          <c:showLegendKey val="0"/>
          <c:showVal val="0"/>
          <c:showCatName val="0"/>
          <c:showSerName val="0"/>
          <c:showPercent val="0"/>
          <c:showBubbleSize val="0"/>
        </c:dLbls>
        <c:marker val="1"/>
        <c:smooth val="0"/>
        <c:axId val="508995016"/>
        <c:axId val="508995344"/>
      </c:lineChart>
      <c:catAx>
        <c:axId val="508995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344"/>
        <c:crosses val="autoZero"/>
        <c:auto val="1"/>
        <c:lblAlgn val="ctr"/>
        <c:lblOffset val="100"/>
        <c:noMultiLvlLbl val="0"/>
      </c:catAx>
      <c:valAx>
        <c:axId val="5089953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016"/>
        <c:crosses val="autoZero"/>
        <c:crossBetween val="between"/>
      </c:valAx>
      <c:spPr>
        <a:noFill/>
        <a:ln>
          <a:noFill/>
        </a:ln>
        <a:effectLst/>
      </c:spPr>
    </c:plotArea>
    <c:legend>
      <c:legendPos val="r"/>
      <c:layout>
        <c:manualLayout>
          <c:xMode val="edge"/>
          <c:yMode val="edge"/>
          <c:x val="0.69806946600961839"/>
          <c:y val="0.5658906767088896"/>
          <c:w val="0.28146409182384419"/>
          <c:h val="0.1467401574803149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Natural Gas Consumption for Southern California Gas Company</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SpecUtilityData!$D$5</c:f>
              <c:strCache>
                <c:ptCount val="1"/>
                <c:pt idx="0">
                  <c:v>Ag &amp; Water Pump</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numRef>
              <c:f>SpecUtilityData!$C$6:$C$33</c:f>
              <c:numCache>
                <c:formatCode>@</c:formatCod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numCache>
            </c:numRef>
          </c:cat>
          <c:val>
            <c:numRef>
              <c:f>SpecUtilityData!$D$6:$D$33</c:f>
              <c:numCache>
                <c:formatCode>General</c:formatCode>
                <c:ptCount val="28"/>
                <c:pt idx="0">
                  <c:v>56.225745000000003</c:v>
                </c:pt>
                <c:pt idx="1">
                  <c:v>52.071269000000001</c:v>
                </c:pt>
                <c:pt idx="2">
                  <c:v>51.518180999999998</c:v>
                </c:pt>
                <c:pt idx="3">
                  <c:v>47.796039</c:v>
                </c:pt>
                <c:pt idx="4">
                  <c:v>56.357881999999996</c:v>
                </c:pt>
                <c:pt idx="5">
                  <c:v>51.522362000000001</c:v>
                </c:pt>
                <c:pt idx="6">
                  <c:v>58.417149000000002</c:v>
                </c:pt>
                <c:pt idx="7">
                  <c:v>65.316205999999994</c:v>
                </c:pt>
                <c:pt idx="8">
                  <c:v>68.384428999999997</c:v>
                </c:pt>
                <c:pt idx="9">
                  <c:v>84.673705999999996</c:v>
                </c:pt>
                <c:pt idx="10">
                  <c:v>89.486869999999996</c:v>
                </c:pt>
                <c:pt idx="11">
                  <c:v>73.940460999999999</c:v>
                </c:pt>
                <c:pt idx="12">
                  <c:v>83.996285</c:v>
                </c:pt>
                <c:pt idx="13">
                  <c:v>99.005668</c:v>
                </c:pt>
                <c:pt idx="14">
                  <c:v>101.360961</c:v>
                </c:pt>
                <c:pt idx="15">
                  <c:v>84.830652999999998</c:v>
                </c:pt>
                <c:pt idx="16">
                  <c:v>85.818032000000002</c:v>
                </c:pt>
                <c:pt idx="17">
                  <c:v>86.176641000000004</c:v>
                </c:pt>
                <c:pt idx="18">
                  <c:v>82.586427999999998</c:v>
                </c:pt>
                <c:pt idx="19">
                  <c:v>78.805265000000006</c:v>
                </c:pt>
                <c:pt idx="20">
                  <c:v>66.107736000000003</c:v>
                </c:pt>
                <c:pt idx="21">
                  <c:v>62.906911999999998</c:v>
                </c:pt>
                <c:pt idx="22">
                  <c:v>70.698425999999998</c:v>
                </c:pt>
                <c:pt idx="23">
                  <c:v>72.987438999999995</c:v>
                </c:pt>
                <c:pt idx="24">
                  <c:v>72.052490000000006</c:v>
                </c:pt>
                <c:pt idx="25">
                  <c:v>73.562828999999994</c:v>
                </c:pt>
                <c:pt idx="26">
                  <c:v>77.039801999999995</c:v>
                </c:pt>
                <c:pt idx="27">
                  <c:v>69.433349000000007</c:v>
                </c:pt>
              </c:numCache>
            </c:numRef>
          </c:val>
          <c:extLst>
            <c:ext xmlns:c16="http://schemas.microsoft.com/office/drawing/2014/chart" uri="{C3380CC4-5D6E-409C-BE32-E72D297353CC}">
              <c16:uniqueId val="{00000008-B0F0-416D-8908-A8DEDE3E6051}"/>
            </c:ext>
          </c:extLst>
        </c:ser>
        <c:ser>
          <c:idx val="1"/>
          <c:order val="1"/>
          <c:tx>
            <c:strRef>
              <c:f>SpecUtilityData!$E$5</c:f>
              <c:strCache>
                <c:ptCount val="1"/>
                <c:pt idx="0">
                  <c:v>Commercial Building</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val>
            <c:numRef>
              <c:f>SpecUtilityData!$E$6:$E$33</c:f>
              <c:numCache>
                <c:formatCode>General</c:formatCode>
                <c:ptCount val="28"/>
                <c:pt idx="0">
                  <c:v>757.80782999999997</c:v>
                </c:pt>
                <c:pt idx="1">
                  <c:v>745.34447999999998</c:v>
                </c:pt>
                <c:pt idx="2">
                  <c:v>724.43559600000003</c:v>
                </c:pt>
                <c:pt idx="3">
                  <c:v>740.81054500000005</c:v>
                </c:pt>
                <c:pt idx="4">
                  <c:v>734.59005200000001</c:v>
                </c:pt>
                <c:pt idx="5">
                  <c:v>693.60781899999995</c:v>
                </c:pt>
                <c:pt idx="6">
                  <c:v>736.22725500000001</c:v>
                </c:pt>
                <c:pt idx="7">
                  <c:v>724.57169099999999</c:v>
                </c:pt>
                <c:pt idx="8">
                  <c:v>816.32912399999998</c:v>
                </c:pt>
                <c:pt idx="9">
                  <c:v>849.103295</c:v>
                </c:pt>
                <c:pt idx="10">
                  <c:v>817.96958800000004</c:v>
                </c:pt>
                <c:pt idx="11">
                  <c:v>836.105907</c:v>
                </c:pt>
                <c:pt idx="12">
                  <c:v>848.65994499999999</c:v>
                </c:pt>
                <c:pt idx="13">
                  <c:v>870.78807300000005</c:v>
                </c:pt>
                <c:pt idx="14">
                  <c:v>929.08929699999999</c:v>
                </c:pt>
                <c:pt idx="15">
                  <c:v>921.44074899999998</c:v>
                </c:pt>
                <c:pt idx="16">
                  <c:v>898.03384000000005</c:v>
                </c:pt>
                <c:pt idx="17">
                  <c:v>913.75624100000005</c:v>
                </c:pt>
                <c:pt idx="18">
                  <c:v>882.10654099999999</c:v>
                </c:pt>
                <c:pt idx="19">
                  <c:v>864.31666399999995</c:v>
                </c:pt>
                <c:pt idx="20">
                  <c:v>897.95026499999994</c:v>
                </c:pt>
                <c:pt idx="21">
                  <c:v>913.79469600000004</c:v>
                </c:pt>
                <c:pt idx="22">
                  <c:v>897.34731499999998</c:v>
                </c:pt>
                <c:pt idx="23">
                  <c:v>920.639049</c:v>
                </c:pt>
                <c:pt idx="24">
                  <c:v>842.24309900000003</c:v>
                </c:pt>
                <c:pt idx="25">
                  <c:v>851.16122099999995</c:v>
                </c:pt>
                <c:pt idx="26">
                  <c:v>892.508331</c:v>
                </c:pt>
                <c:pt idx="27">
                  <c:v>895.86177399999997</c:v>
                </c:pt>
              </c:numCache>
            </c:numRef>
          </c:val>
          <c:extLst>
            <c:ext xmlns:c16="http://schemas.microsoft.com/office/drawing/2014/chart" uri="{C3380CC4-5D6E-409C-BE32-E72D297353CC}">
              <c16:uniqueId val="{00000009-B0F0-416D-8908-A8DEDE3E6051}"/>
            </c:ext>
          </c:extLst>
        </c:ser>
        <c:ser>
          <c:idx val="2"/>
          <c:order val="2"/>
          <c:tx>
            <c:strRef>
              <c:f>SpecUtilityData!$F$5</c:f>
              <c:strCache>
                <c:ptCount val="1"/>
                <c:pt idx="0">
                  <c:v>Commercial Other</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val>
            <c:numRef>
              <c:f>SpecUtilityData!$F$6:$F$33</c:f>
              <c:numCache>
                <c:formatCode>General</c:formatCode>
                <c:ptCount val="28"/>
                <c:pt idx="0">
                  <c:v>57.704821000000003</c:v>
                </c:pt>
                <c:pt idx="1">
                  <c:v>99.810441999999995</c:v>
                </c:pt>
                <c:pt idx="2">
                  <c:v>67.804311999999996</c:v>
                </c:pt>
                <c:pt idx="3">
                  <c:v>56.299388</c:v>
                </c:pt>
                <c:pt idx="4">
                  <c:v>55.197733999999997</c:v>
                </c:pt>
                <c:pt idx="5">
                  <c:v>87.919120000000007</c:v>
                </c:pt>
                <c:pt idx="6">
                  <c:v>111.278847</c:v>
                </c:pt>
                <c:pt idx="7">
                  <c:v>92.314482999999996</c:v>
                </c:pt>
                <c:pt idx="8">
                  <c:v>69.923176999999995</c:v>
                </c:pt>
                <c:pt idx="9">
                  <c:v>71.356356000000005</c:v>
                </c:pt>
                <c:pt idx="10">
                  <c:v>62.600687000000001</c:v>
                </c:pt>
                <c:pt idx="11">
                  <c:v>63.712440999999998</c:v>
                </c:pt>
                <c:pt idx="12">
                  <c:v>93.813902999999996</c:v>
                </c:pt>
                <c:pt idx="13">
                  <c:v>73.544270999999995</c:v>
                </c:pt>
                <c:pt idx="14">
                  <c:v>73.683620000000005</c:v>
                </c:pt>
                <c:pt idx="15">
                  <c:v>73.874815999999996</c:v>
                </c:pt>
                <c:pt idx="16">
                  <c:v>69.731311000000005</c:v>
                </c:pt>
                <c:pt idx="17">
                  <c:v>104.95406699999999</c:v>
                </c:pt>
                <c:pt idx="18">
                  <c:v>52.121913999999997</c:v>
                </c:pt>
                <c:pt idx="19">
                  <c:v>50.141226000000003</c:v>
                </c:pt>
                <c:pt idx="20">
                  <c:v>47.786755999999997</c:v>
                </c:pt>
                <c:pt idx="21">
                  <c:v>47.357740999999997</c:v>
                </c:pt>
                <c:pt idx="22">
                  <c:v>48.385438999999998</c:v>
                </c:pt>
                <c:pt idx="23">
                  <c:v>48.753743</c:v>
                </c:pt>
                <c:pt idx="24">
                  <c:v>48.721853000000003</c:v>
                </c:pt>
                <c:pt idx="25">
                  <c:v>49.542411999999999</c:v>
                </c:pt>
                <c:pt idx="26">
                  <c:v>56.758217000000002</c:v>
                </c:pt>
                <c:pt idx="27">
                  <c:v>72.182936999999995</c:v>
                </c:pt>
              </c:numCache>
            </c:numRef>
          </c:val>
          <c:extLst>
            <c:ext xmlns:c16="http://schemas.microsoft.com/office/drawing/2014/chart" uri="{C3380CC4-5D6E-409C-BE32-E72D297353CC}">
              <c16:uniqueId val="{0000000A-B0F0-416D-8908-A8DEDE3E6051}"/>
            </c:ext>
          </c:extLst>
        </c:ser>
        <c:ser>
          <c:idx val="3"/>
          <c:order val="3"/>
          <c:tx>
            <c:strRef>
              <c:f>SpecUtilityData!$G$5</c:f>
              <c:strCache>
                <c:ptCount val="1"/>
                <c:pt idx="0">
                  <c:v>Industry</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val>
            <c:numRef>
              <c:f>SpecUtilityData!$G$6:$G$33</c:f>
              <c:numCache>
                <c:formatCode>General</c:formatCode>
                <c:ptCount val="28"/>
                <c:pt idx="0">
                  <c:v>1069.731295</c:v>
                </c:pt>
                <c:pt idx="1">
                  <c:v>1022.572779</c:v>
                </c:pt>
                <c:pt idx="2">
                  <c:v>951.67853700000001</c:v>
                </c:pt>
                <c:pt idx="3">
                  <c:v>1004.075301</c:v>
                </c:pt>
                <c:pt idx="4">
                  <c:v>1071.316558</c:v>
                </c:pt>
                <c:pt idx="5">
                  <c:v>1041.7938610000001</c:v>
                </c:pt>
                <c:pt idx="6">
                  <c:v>1503.418999</c:v>
                </c:pt>
                <c:pt idx="7">
                  <c:v>1471.9392270000001</c:v>
                </c:pt>
                <c:pt idx="8">
                  <c:v>1607.887481</c:v>
                </c:pt>
                <c:pt idx="9">
                  <c:v>1675.0445990000001</c:v>
                </c:pt>
                <c:pt idx="10">
                  <c:v>1648.2985510000001</c:v>
                </c:pt>
                <c:pt idx="11">
                  <c:v>1450.4360019999999</c:v>
                </c:pt>
                <c:pt idx="12">
                  <c:v>1557.837411</c:v>
                </c:pt>
                <c:pt idx="13">
                  <c:v>1436.8979870000001</c:v>
                </c:pt>
                <c:pt idx="14">
                  <c:v>1461.1715730000001</c:v>
                </c:pt>
                <c:pt idx="15">
                  <c:v>1454.493226</c:v>
                </c:pt>
                <c:pt idx="16">
                  <c:v>1436.3547349999999</c:v>
                </c:pt>
                <c:pt idx="17">
                  <c:v>1500.1831139999999</c:v>
                </c:pt>
                <c:pt idx="18">
                  <c:v>1548.505762</c:v>
                </c:pt>
                <c:pt idx="19">
                  <c:v>1438.1884050000001</c:v>
                </c:pt>
                <c:pt idx="20">
                  <c:v>1578.5225660000001</c:v>
                </c:pt>
                <c:pt idx="21">
                  <c:v>1576.165094</c:v>
                </c:pt>
                <c:pt idx="22">
                  <c:v>1586.8583980000001</c:v>
                </c:pt>
                <c:pt idx="23">
                  <c:v>1645.249104</c:v>
                </c:pt>
                <c:pt idx="24">
                  <c:v>1665.318317</c:v>
                </c:pt>
                <c:pt idx="25">
                  <c:v>1617.569115</c:v>
                </c:pt>
                <c:pt idx="26">
                  <c:v>1724.8531519999999</c:v>
                </c:pt>
                <c:pt idx="27">
                  <c:v>1716.5670950000001</c:v>
                </c:pt>
              </c:numCache>
            </c:numRef>
          </c:val>
          <c:extLst>
            <c:ext xmlns:c16="http://schemas.microsoft.com/office/drawing/2014/chart" uri="{C3380CC4-5D6E-409C-BE32-E72D297353CC}">
              <c16:uniqueId val="{0000000B-B0F0-416D-8908-A8DEDE3E6051}"/>
            </c:ext>
          </c:extLst>
        </c:ser>
        <c:ser>
          <c:idx val="4"/>
          <c:order val="4"/>
          <c:tx>
            <c:strRef>
              <c:f>SpecUtilityData!$H$5</c:f>
              <c:strCache>
                <c:ptCount val="1"/>
                <c:pt idx="0">
                  <c:v>Mining &amp; Construction</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val>
            <c:numRef>
              <c:f>SpecUtilityData!$H$6:$H$33</c:f>
              <c:numCache>
                <c:formatCode>General</c:formatCode>
                <c:ptCount val="28"/>
                <c:pt idx="0">
                  <c:v>586.27234399999998</c:v>
                </c:pt>
                <c:pt idx="1">
                  <c:v>687.14943400000004</c:v>
                </c:pt>
                <c:pt idx="2">
                  <c:v>761.909986</c:v>
                </c:pt>
                <c:pt idx="3">
                  <c:v>503.05881499999998</c:v>
                </c:pt>
                <c:pt idx="4">
                  <c:v>403.01429999999999</c:v>
                </c:pt>
                <c:pt idx="5">
                  <c:v>382.85009400000001</c:v>
                </c:pt>
                <c:pt idx="6">
                  <c:v>453.671783</c:v>
                </c:pt>
                <c:pt idx="7">
                  <c:v>459.65597700000001</c:v>
                </c:pt>
                <c:pt idx="8">
                  <c:v>556.96498399999996</c:v>
                </c:pt>
                <c:pt idx="9">
                  <c:v>470.06815899999998</c:v>
                </c:pt>
                <c:pt idx="10">
                  <c:v>522.22981500000003</c:v>
                </c:pt>
                <c:pt idx="11">
                  <c:v>359.74299000000002</c:v>
                </c:pt>
                <c:pt idx="12">
                  <c:v>485.45705099999998</c:v>
                </c:pt>
                <c:pt idx="13">
                  <c:v>483.98540400000002</c:v>
                </c:pt>
                <c:pt idx="14">
                  <c:v>413.486558</c:v>
                </c:pt>
                <c:pt idx="15">
                  <c:v>410.34044399999999</c:v>
                </c:pt>
                <c:pt idx="16">
                  <c:v>449.40957600000002</c:v>
                </c:pt>
                <c:pt idx="17">
                  <c:v>464.08453200000002</c:v>
                </c:pt>
                <c:pt idx="18">
                  <c:v>411.09960100000001</c:v>
                </c:pt>
                <c:pt idx="19">
                  <c:v>261.43415399999998</c:v>
                </c:pt>
                <c:pt idx="20">
                  <c:v>190.390062</c:v>
                </c:pt>
                <c:pt idx="21">
                  <c:v>181.69610499999999</c:v>
                </c:pt>
                <c:pt idx="22">
                  <c:v>218.61480800000001</c:v>
                </c:pt>
                <c:pt idx="23">
                  <c:v>245.464696</c:v>
                </c:pt>
                <c:pt idx="24">
                  <c:v>260.43144599999999</c:v>
                </c:pt>
                <c:pt idx="25">
                  <c:v>242.41347999999999</c:v>
                </c:pt>
                <c:pt idx="26">
                  <c:v>236.79325299999999</c:v>
                </c:pt>
                <c:pt idx="27">
                  <c:v>229.745824</c:v>
                </c:pt>
              </c:numCache>
            </c:numRef>
          </c:val>
          <c:extLst>
            <c:ext xmlns:c16="http://schemas.microsoft.com/office/drawing/2014/chart" uri="{C3380CC4-5D6E-409C-BE32-E72D297353CC}">
              <c16:uniqueId val="{0000000C-B0F0-416D-8908-A8DEDE3E6051}"/>
            </c:ext>
          </c:extLst>
        </c:ser>
        <c:ser>
          <c:idx val="5"/>
          <c:order val="5"/>
          <c:tx>
            <c:strRef>
              <c:f>SpecUtilityData!$I$5</c:f>
              <c:strCache>
                <c:ptCount val="1"/>
                <c:pt idx="0">
                  <c:v>Residential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val>
            <c:numRef>
              <c:f>SpecUtilityData!$I$6:$I$33</c:f>
              <c:numCache>
                <c:formatCode>General</c:formatCode>
                <c:ptCount val="28"/>
                <c:pt idx="0">
                  <c:v>2629.3475130000002</c:v>
                </c:pt>
                <c:pt idx="1">
                  <c:v>2648.6256020000001</c:v>
                </c:pt>
                <c:pt idx="2">
                  <c:v>2588.3147429999999</c:v>
                </c:pt>
                <c:pt idx="3">
                  <c:v>2565.1872290000001</c:v>
                </c:pt>
                <c:pt idx="4">
                  <c:v>2611.052146</c:v>
                </c:pt>
                <c:pt idx="5">
                  <c:v>2410.5864390000002</c:v>
                </c:pt>
                <c:pt idx="6">
                  <c:v>2433.092666</c:v>
                </c:pt>
                <c:pt idx="7">
                  <c:v>2394.4734440000002</c:v>
                </c:pt>
                <c:pt idx="8">
                  <c:v>2759.5596860000001</c:v>
                </c:pt>
                <c:pt idx="9">
                  <c:v>2814.0746370000002</c:v>
                </c:pt>
                <c:pt idx="10">
                  <c:v>2588.3073810000001</c:v>
                </c:pt>
                <c:pt idx="11">
                  <c:v>2657.1658710000002</c:v>
                </c:pt>
                <c:pt idx="12">
                  <c:v>2623.3348120000001</c:v>
                </c:pt>
                <c:pt idx="13">
                  <c:v>2466.9313809999999</c:v>
                </c:pt>
                <c:pt idx="14">
                  <c:v>2616.039565</c:v>
                </c:pt>
                <c:pt idx="15">
                  <c:v>2434.097166</c:v>
                </c:pt>
                <c:pt idx="16">
                  <c:v>2497.8833650000001</c:v>
                </c:pt>
                <c:pt idx="17">
                  <c:v>2523.0350149999999</c:v>
                </c:pt>
                <c:pt idx="18">
                  <c:v>2480.1702260000002</c:v>
                </c:pt>
                <c:pt idx="19">
                  <c:v>2441.8329680000002</c:v>
                </c:pt>
                <c:pt idx="20">
                  <c:v>2532.645305</c:v>
                </c:pt>
                <c:pt idx="21">
                  <c:v>2564.7301219999999</c:v>
                </c:pt>
                <c:pt idx="22">
                  <c:v>2385.6428649999998</c:v>
                </c:pt>
                <c:pt idx="23">
                  <c:v>2473.3211099999999</c:v>
                </c:pt>
                <c:pt idx="24">
                  <c:v>2010.3457209999999</c:v>
                </c:pt>
                <c:pt idx="25">
                  <c:v>2037.9610029999999</c:v>
                </c:pt>
                <c:pt idx="26">
                  <c:v>2136.193698</c:v>
                </c:pt>
                <c:pt idx="27">
                  <c:v>2158.0529069999998</c:v>
                </c:pt>
              </c:numCache>
            </c:numRef>
          </c:val>
          <c:extLst>
            <c:ext xmlns:c16="http://schemas.microsoft.com/office/drawing/2014/chart" uri="{C3380CC4-5D6E-409C-BE32-E72D297353CC}">
              <c16:uniqueId val="{0000000D-B0F0-416D-8908-A8DEDE3E6051}"/>
            </c:ext>
          </c:extLst>
        </c:ser>
        <c:dLbls>
          <c:showLegendKey val="0"/>
          <c:showVal val="0"/>
          <c:showCatName val="0"/>
          <c:showSerName val="0"/>
          <c:showPercent val="0"/>
          <c:showBubbleSize val="0"/>
        </c:dLbls>
        <c:gapWidth val="150"/>
        <c:axId val="511421752"/>
        <c:axId val="511418800"/>
      </c:barChart>
      <c:lineChart>
        <c:grouping val="standard"/>
        <c:varyColors val="0"/>
        <c:ser>
          <c:idx val="6"/>
          <c:order val="6"/>
          <c:tx>
            <c:strRef>
              <c:f>SpecUtilityData!$J$5</c:f>
              <c:strCache>
                <c:ptCount val="1"/>
                <c:pt idx="0">
                  <c:v>Total Usage</c:v>
                </c:pt>
              </c:strCache>
            </c:strRef>
          </c:tx>
          <c:spPr>
            <a:ln w="28575" cap="rnd">
              <a:solidFill>
                <a:schemeClr val="accent1">
                  <a:lumMod val="60000"/>
                </a:schemeClr>
              </a:solidFill>
              <a:round/>
            </a:ln>
            <a:effectLst/>
          </c:spPr>
          <c:marker>
            <c:symbol val="none"/>
          </c:marker>
          <c:val>
            <c:numRef>
              <c:f>SpecUtilityData!$J$6:$J$33</c:f>
              <c:numCache>
                <c:formatCode>General</c:formatCode>
                <c:ptCount val="28"/>
                <c:pt idx="0">
                  <c:v>5157.0895479999999</c:v>
                </c:pt>
                <c:pt idx="1">
                  <c:v>5255.5740059999998</c:v>
                </c:pt>
                <c:pt idx="2">
                  <c:v>5145.6613550000002</c:v>
                </c:pt>
                <c:pt idx="3">
                  <c:v>4917.2273169999999</c:v>
                </c:pt>
                <c:pt idx="4">
                  <c:v>4931.5286720000004</c:v>
                </c:pt>
                <c:pt idx="5">
                  <c:v>4668.2796950000002</c:v>
                </c:pt>
                <c:pt idx="6">
                  <c:v>5296.1066989999999</c:v>
                </c:pt>
                <c:pt idx="7">
                  <c:v>5208.2710280000001</c:v>
                </c:pt>
                <c:pt idx="8">
                  <c:v>5879.0488809999997</c:v>
                </c:pt>
                <c:pt idx="9">
                  <c:v>5964.3207519999996</c:v>
                </c:pt>
                <c:pt idx="10">
                  <c:v>5728.8928919999998</c:v>
                </c:pt>
                <c:pt idx="11">
                  <c:v>5441.1036720000002</c:v>
                </c:pt>
                <c:pt idx="12">
                  <c:v>5693.0994069999997</c:v>
                </c:pt>
                <c:pt idx="13">
                  <c:v>5431.1527839999999</c:v>
                </c:pt>
                <c:pt idx="14">
                  <c:v>5594.8315739999998</c:v>
                </c:pt>
                <c:pt idx="15">
                  <c:v>5379.0770540000003</c:v>
                </c:pt>
                <c:pt idx="16">
                  <c:v>5437.2308590000002</c:v>
                </c:pt>
                <c:pt idx="17">
                  <c:v>5592.1896100000004</c:v>
                </c:pt>
                <c:pt idx="18">
                  <c:v>5456.5904719999999</c:v>
                </c:pt>
                <c:pt idx="19">
                  <c:v>5134.7186819999997</c:v>
                </c:pt>
                <c:pt idx="20">
                  <c:v>5313.4026899999999</c:v>
                </c:pt>
                <c:pt idx="21">
                  <c:v>5346.65067</c:v>
                </c:pt>
                <c:pt idx="22">
                  <c:v>5207.547251</c:v>
                </c:pt>
                <c:pt idx="23">
                  <c:v>5406.4151410000004</c:v>
                </c:pt>
                <c:pt idx="24">
                  <c:v>4899.1129259999998</c:v>
                </c:pt>
                <c:pt idx="25">
                  <c:v>4872.2100600000003</c:v>
                </c:pt>
                <c:pt idx="26">
                  <c:v>5124.1464530000003</c:v>
                </c:pt>
                <c:pt idx="27">
                  <c:v>5141.8438859999997</c:v>
                </c:pt>
              </c:numCache>
            </c:numRef>
          </c:val>
          <c:smooth val="0"/>
          <c:extLst>
            <c:ext xmlns:c16="http://schemas.microsoft.com/office/drawing/2014/chart" uri="{C3380CC4-5D6E-409C-BE32-E72D297353CC}">
              <c16:uniqueId val="{0000000E-B0F0-416D-8908-A8DEDE3E6051}"/>
            </c:ext>
          </c:extLst>
        </c:ser>
        <c:dLbls>
          <c:showLegendKey val="0"/>
          <c:showVal val="0"/>
          <c:showCatName val="0"/>
          <c:showSerName val="0"/>
          <c:showPercent val="0"/>
          <c:showBubbleSize val="0"/>
        </c:dLbls>
        <c:marker val="1"/>
        <c:smooth val="0"/>
        <c:axId val="511428968"/>
        <c:axId val="511418144"/>
      </c:lineChart>
      <c:catAx>
        <c:axId val="511421752"/>
        <c:scaling>
          <c:orientation val="minMax"/>
        </c:scaling>
        <c:delete val="0"/>
        <c:axPos val="b"/>
        <c:numFmt formatCode="@" sourceLinked="1"/>
        <c:majorTickMark val="none"/>
        <c:minorTickMark val="none"/>
        <c:tickLblPos val="nextTo"/>
        <c:spPr>
          <a:noFill/>
          <a:ln w="19050" cap="flat" cmpd="sng" algn="ctr">
            <a:noFill/>
            <a:round/>
          </a:ln>
          <a:effectLst/>
          <a:extLst>
            <a:ext uri="{91240B29-F687-4F45-9708-019B960494DF}">
              <a14:hiddenLine xmlns:a14="http://schemas.microsoft.com/office/drawing/2010/main" w="19050" cap="flat" cmpd="sng" algn="ctr">
                <a:solidFill>
                  <a:srgbClr val="000000">
                    <a:lumMod val="25000"/>
                    <a:lumOff val="75000"/>
                  </a:srgbClr>
                </a:solidFill>
                <a:round/>
              </a14:hiddenLine>
            </a:ext>
          </a:ex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418800"/>
        <c:crosses val="autoZero"/>
        <c:auto val="1"/>
        <c:lblAlgn val="ctr"/>
        <c:lblOffset val="100"/>
        <c:noMultiLvlLbl val="1"/>
      </c:catAx>
      <c:valAx>
        <c:axId val="511418800"/>
        <c:scaling>
          <c:orientation val="minMax"/>
        </c:scaling>
        <c:delete val="0"/>
        <c:axPos val="l"/>
        <c:majorGridlines>
          <c:spPr>
            <a:ln>
              <a:solidFill>
                <a:schemeClr val="tx1">
                  <a:lumMod val="15000"/>
                  <a:lumOff val="85000"/>
                </a:schemeClr>
              </a:solidFill>
            </a:ln>
            <a:effectLst/>
          </c:spPr>
        </c:majorGridlines>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US"/>
                  <a:t>Sector Usage (Millions of Therms)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421752"/>
        <c:crosses val="autoZero"/>
        <c:crossBetween val="between"/>
      </c:valAx>
      <c:valAx>
        <c:axId val="511418144"/>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US"/>
                  <a:t>TOTAL Usage (Millions of Therms)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428968"/>
        <c:crosses val="max"/>
        <c:crossBetween val="between"/>
      </c:valAx>
      <c:catAx>
        <c:axId val="511428968"/>
        <c:scaling>
          <c:orientation val="minMax"/>
        </c:scaling>
        <c:delete val="1"/>
        <c:axPos val="b"/>
        <c:majorTickMark val="out"/>
        <c:minorTickMark val="none"/>
        <c:tickLblPos val="nextTo"/>
        <c:crossAx val="511418144"/>
        <c:crosses val="autoZero"/>
        <c:auto val="1"/>
        <c:lblAlgn val="ctr"/>
        <c:lblOffset val="100"/>
        <c:noMultiLvlLbl val="0"/>
      </c:catAx>
      <c:spPr>
        <a:solidFill>
          <a:srgbClr val="DCE6F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9525" cap="flat" cmpd="sng" algn="ctr">
      <a:noFill/>
      <a:round/>
    </a:ln>
    <a:effectLst/>
    <a:extLst>
      <a:ext uri="{91240B29-F687-4F45-9708-019B960494DF}">
        <a14:hiddenLine xmlns:a14="http://schemas.microsoft.com/office/drawing/2010/main" w="9525" cap="flat" cmpd="sng" algn="ctr">
          <a:solidFill>
            <a:srgbClr val="000000">
              <a:lumMod val="15000"/>
              <a:lumOff val="85000"/>
            </a:srgbClr>
          </a:solidFill>
          <a:round/>
        </a14:hiddenLine>
      </a:ext>
    </a:ex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[GasConsumptionByUtility.xlsm]PivotTable1!PivotTable1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Mining &amp; Industry</a:t>
            </a:r>
            <a:r>
              <a:rPr lang="en-US" baseline="0"/>
              <a:t> NG Consumption by Utility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904221347331584"/>
          <c:y val="0.17171296296296296"/>
          <c:w val="0.49318000874890638"/>
          <c:h val="0.77736111111111106"/>
        </c:manualLayout>
      </c:layout>
      <c:barChart>
        <c:barDir val="bar"/>
        <c:grouping val="clustered"/>
        <c:varyColors val="0"/>
        <c:ser>
          <c:idx val="0"/>
          <c:order val="0"/>
          <c:tx>
            <c:strRef>
              <c:f>PivotTable1!$B$4</c:f>
              <c:strCache>
                <c:ptCount val="1"/>
                <c:pt idx="0">
                  <c:v>Sum of Mining &amp; Construction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PivotTable1!$A$5:$A$9</c:f>
              <c:strCache>
                <c:ptCount val="4"/>
                <c:pt idx="0">
                  <c:v>Southern California Gas Company</c:v>
                </c:pt>
                <c:pt idx="1">
                  <c:v>Pacific Gas and Electric Company</c:v>
                </c:pt>
                <c:pt idx="2">
                  <c:v>San Diego Gas and Electric Company</c:v>
                </c:pt>
                <c:pt idx="3">
                  <c:v>Avista Energy</c:v>
                </c:pt>
              </c:strCache>
            </c:strRef>
          </c:cat>
          <c:val>
            <c:numRef>
              <c:f>PivotTable1!$B$5:$B$9</c:f>
              <c:numCache>
                <c:formatCode>0</c:formatCode>
                <c:ptCount val="4"/>
                <c:pt idx="0">
                  <c:v>11331.435675000001</c:v>
                </c:pt>
                <c:pt idx="1">
                  <c:v>1393.2202720000003</c:v>
                </c:pt>
                <c:pt idx="2">
                  <c:v>99.901960000000003</c:v>
                </c:pt>
                <c:pt idx="3">
                  <c:v>0.37206000000000006</c:v>
                </c:pt>
              </c:numCache>
            </c:numRef>
          </c:val>
          <c:extLst>
            <c:ext xmlns:c16="http://schemas.microsoft.com/office/drawing/2014/chart" uri="{C3380CC4-5D6E-409C-BE32-E72D297353CC}">
              <c16:uniqueId val="{00000000-2E9B-4DA8-BE6A-543FC9D13A4E}"/>
            </c:ext>
          </c:extLst>
        </c:ser>
        <c:ser>
          <c:idx val="1"/>
          <c:order val="1"/>
          <c:tx>
            <c:strRef>
              <c:f>PivotTable1!$C$4</c:f>
              <c:strCache>
                <c:ptCount val="1"/>
                <c:pt idx="0">
                  <c:v>Sum of Industry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PivotTable1!$A$5:$A$9</c:f>
              <c:strCache>
                <c:ptCount val="4"/>
                <c:pt idx="0">
                  <c:v>Southern California Gas Company</c:v>
                </c:pt>
                <c:pt idx="1">
                  <c:v>Pacific Gas and Electric Company</c:v>
                </c:pt>
                <c:pt idx="2">
                  <c:v>San Diego Gas and Electric Company</c:v>
                </c:pt>
                <c:pt idx="3">
                  <c:v>Avista Energy</c:v>
                </c:pt>
              </c:strCache>
            </c:strRef>
          </c:cat>
          <c:val>
            <c:numRef>
              <c:f>PivotTable1!$C$5:$C$9</c:f>
              <c:numCache>
                <c:formatCode>0</c:formatCode>
                <c:ptCount val="4"/>
                <c:pt idx="0">
                  <c:v>40462.928243999995</c:v>
                </c:pt>
                <c:pt idx="1">
                  <c:v>46304.993529999992</c:v>
                </c:pt>
                <c:pt idx="2">
                  <c:v>862.43177099999991</c:v>
                </c:pt>
                <c:pt idx="3">
                  <c:v>0.34634700000000002</c:v>
                </c:pt>
              </c:numCache>
            </c:numRef>
          </c:val>
          <c:extLst>
            <c:ext xmlns:c16="http://schemas.microsoft.com/office/drawing/2014/chart" uri="{C3380CC4-5D6E-409C-BE32-E72D297353CC}">
              <c16:uniqueId val="{00000001-2E9B-4DA8-BE6A-543FC9D13A4E}"/>
            </c:ext>
          </c:extLst>
        </c:ser>
        <c:dLbls>
          <c:dLblPos val="outEnd"/>
          <c:showLegendKey val="0"/>
          <c:showVal val="1"/>
          <c:showCatName val="0"/>
          <c:showSerName val="0"/>
          <c:showPercent val="0"/>
          <c:showBubbleSize val="0"/>
        </c:dLbls>
        <c:gapWidth val="25"/>
        <c:axId val="508995016"/>
        <c:axId val="508995344"/>
      </c:barChart>
      <c:catAx>
        <c:axId val="5089950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344"/>
        <c:crosses val="autoZero"/>
        <c:auto val="1"/>
        <c:lblAlgn val="ctr"/>
        <c:lblOffset val="100"/>
        <c:noMultiLvlLbl val="0"/>
      </c:catAx>
      <c:valAx>
        <c:axId val="508995344"/>
        <c:scaling>
          <c:orientation val="minMax"/>
        </c:scaling>
        <c:delete val="1"/>
        <c:axPos val="t"/>
        <c:numFmt formatCode="0" sourceLinked="1"/>
        <c:majorTickMark val="none"/>
        <c:minorTickMark val="none"/>
        <c:tickLblPos val="nextTo"/>
        <c:crossAx val="508995016"/>
        <c:crosses val="autoZero"/>
        <c:crossBetween val="between"/>
      </c:valAx>
      <c:spPr>
        <a:noFill/>
        <a:ln>
          <a:noFill/>
        </a:ln>
        <a:effectLst/>
      </c:spPr>
    </c:plotArea>
    <c:legend>
      <c:legendPos val="r"/>
      <c:layout>
        <c:manualLayout>
          <c:xMode val="edge"/>
          <c:yMode val="edge"/>
          <c:x val="0.74452841411820692"/>
          <c:y val="0.70449001166520853"/>
          <c:w val="0.25547153334805112"/>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[GasConsumptionByUtility.xlsm]PivotTable2!PivotTable1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Commercial &amp; Ag NG Consumption by Utility &amp; Sector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pivotFmt>
      <c:pivotFmt>
        <c:idx val="4"/>
        <c:spPr>
          <a:solidFill>
            <a:schemeClr val="accent6"/>
          </a:solidFill>
          <a:ln>
            <a:noFill/>
          </a:ln>
          <a:effectLst/>
        </c:spPr>
        <c:marker>
          <c:symbol val="none"/>
        </c:marker>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904221347331584"/>
          <c:y val="0.17171296296296296"/>
          <c:w val="0.49318000874890638"/>
          <c:h val="0.77736111111111106"/>
        </c:manualLayout>
      </c:layout>
      <c:barChart>
        <c:barDir val="bar"/>
        <c:grouping val="clustered"/>
        <c:varyColors val="0"/>
        <c:ser>
          <c:idx val="0"/>
          <c:order val="0"/>
          <c:tx>
            <c:strRef>
              <c:f>PivotTable2!$B$4</c:f>
              <c:strCache>
                <c:ptCount val="1"/>
                <c:pt idx="0">
                  <c:v>Sum of Commercial Building</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PivotTable2!$A$5:$A$9</c:f>
              <c:strCache>
                <c:ptCount val="4"/>
                <c:pt idx="0">
                  <c:v>Southern California Gas Company</c:v>
                </c:pt>
                <c:pt idx="1">
                  <c:v>Pacific Gas and Electric Company</c:v>
                </c:pt>
                <c:pt idx="2">
                  <c:v>San Diego Gas and Electric Company</c:v>
                </c:pt>
                <c:pt idx="3">
                  <c:v>Avista Energy</c:v>
                </c:pt>
              </c:strCache>
            </c:strRef>
          </c:cat>
          <c:val>
            <c:numRef>
              <c:f>PivotTable2!$B$5:$B$9</c:f>
              <c:numCache>
                <c:formatCode>0</c:formatCode>
                <c:ptCount val="4"/>
                <c:pt idx="0">
                  <c:v>23416.600281999999</c:v>
                </c:pt>
                <c:pt idx="1">
                  <c:v>23065.736038999999</c:v>
                </c:pt>
                <c:pt idx="2">
                  <c:v>4029.7220730000004</c:v>
                </c:pt>
                <c:pt idx="3">
                  <c:v>73.537087999999983</c:v>
                </c:pt>
              </c:numCache>
            </c:numRef>
          </c:val>
          <c:extLst>
            <c:ext xmlns:c16="http://schemas.microsoft.com/office/drawing/2014/chart" uri="{C3380CC4-5D6E-409C-BE32-E72D297353CC}">
              <c16:uniqueId val="{00000000-8B30-4124-A814-B7CD978B78B7}"/>
            </c:ext>
          </c:extLst>
        </c:ser>
        <c:ser>
          <c:idx val="1"/>
          <c:order val="1"/>
          <c:tx>
            <c:strRef>
              <c:f>PivotTable2!$C$4</c:f>
              <c:strCache>
                <c:ptCount val="1"/>
                <c:pt idx="0">
                  <c:v>Sum of Ag &amp; Water Pump</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PivotTable2!$A$5:$A$9</c:f>
              <c:strCache>
                <c:ptCount val="4"/>
                <c:pt idx="0">
                  <c:v>Southern California Gas Company</c:v>
                </c:pt>
                <c:pt idx="1">
                  <c:v>Pacific Gas and Electric Company</c:v>
                </c:pt>
                <c:pt idx="2">
                  <c:v>San Diego Gas and Electric Company</c:v>
                </c:pt>
                <c:pt idx="3">
                  <c:v>Avista Energy</c:v>
                </c:pt>
              </c:strCache>
            </c:strRef>
          </c:cat>
          <c:val>
            <c:numRef>
              <c:f>PivotTable2!$C$5:$C$9</c:f>
              <c:numCache>
                <c:formatCode>0</c:formatCode>
                <c:ptCount val="4"/>
                <c:pt idx="0">
                  <c:v>2023.079215</c:v>
                </c:pt>
                <c:pt idx="1">
                  <c:v>1383.5804949999997</c:v>
                </c:pt>
                <c:pt idx="2">
                  <c:v>159.334844</c:v>
                </c:pt>
                <c:pt idx="3">
                  <c:v>1.608895</c:v>
                </c:pt>
              </c:numCache>
            </c:numRef>
          </c:val>
          <c:extLst>
            <c:ext xmlns:c16="http://schemas.microsoft.com/office/drawing/2014/chart" uri="{C3380CC4-5D6E-409C-BE32-E72D297353CC}">
              <c16:uniqueId val="{00000001-8B30-4124-A814-B7CD978B78B7}"/>
            </c:ext>
          </c:extLst>
        </c:ser>
        <c:dLbls>
          <c:showLegendKey val="0"/>
          <c:showVal val="0"/>
          <c:showCatName val="0"/>
          <c:showSerName val="0"/>
          <c:showPercent val="0"/>
          <c:showBubbleSize val="0"/>
        </c:dLbls>
        <c:gapWidth val="43"/>
        <c:axId val="508995016"/>
        <c:axId val="508995344"/>
      </c:barChart>
      <c:catAx>
        <c:axId val="5089950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344"/>
        <c:crosses val="autoZero"/>
        <c:auto val="1"/>
        <c:lblAlgn val="ctr"/>
        <c:lblOffset val="100"/>
        <c:noMultiLvlLbl val="0"/>
      </c:catAx>
      <c:valAx>
        <c:axId val="508995344"/>
        <c:scaling>
          <c:orientation val="minMax"/>
        </c:scaling>
        <c:delete val="1"/>
        <c:axPos val="t"/>
        <c:numFmt formatCode="0" sourceLinked="1"/>
        <c:majorTickMark val="none"/>
        <c:minorTickMark val="none"/>
        <c:tickLblPos val="nextTo"/>
        <c:crossAx val="508995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[GasConsumptionByUtility.xlsm]PivotTable3!PivotTable1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Distribution of Therms Consumed in Commercial Sector</a:t>
            </a:r>
            <a:endParaRPr lang="en-US"/>
          </a:p>
        </c:rich>
      </c:tx>
      <c:layout>
        <c:manualLayout>
          <c:xMode val="edge"/>
          <c:yMode val="edge"/>
          <c:x val="0.16014367816091957"/>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s>
    <c:plotArea>
      <c:layout>
        <c:manualLayout>
          <c:layoutTarget val="inner"/>
          <c:xMode val="edge"/>
          <c:yMode val="edge"/>
          <c:x val="9.0960510278095583E-2"/>
          <c:y val="0.20519706929436995"/>
          <c:w val="0.62233468679662907"/>
          <c:h val="0.7035086574429259"/>
        </c:manualLayout>
      </c:layout>
      <c:pieChart>
        <c:varyColors val="1"/>
        <c:ser>
          <c:idx val="0"/>
          <c:order val="0"/>
          <c:tx>
            <c:strRef>
              <c:f>PivotTable3!$B$4</c:f>
              <c:strCache>
                <c:ptCount val="1"/>
                <c:pt idx="0">
                  <c:v>Total</c:v>
                </c:pt>
              </c:strCache>
            </c:strRef>
          </c:tx>
          <c:explosion val="23"/>
          <c:dPt>
            <c:idx val="0"/>
            <c:bubble3D val="0"/>
            <c:spPr>
              <a:solidFill>
                <a:schemeClr val="accent1"/>
              </a:solidFill>
              <a:ln>
                <a:noFill/>
              </a:ln>
              <a:effectLst/>
            </c:spPr>
            <c:extLst>
              <c:ext xmlns:c16="http://schemas.microsoft.com/office/drawing/2014/chart" uri="{C3380CC4-5D6E-409C-BE32-E72D297353CC}">
                <c16:uniqueId val="{00000001-8646-45ED-BCBA-EBBAC5B9D25B}"/>
              </c:ext>
            </c:extLst>
          </c:dPt>
          <c:dPt>
            <c:idx val="1"/>
            <c:bubble3D val="0"/>
            <c:spPr>
              <a:solidFill>
                <a:schemeClr val="accent2"/>
              </a:solidFill>
              <a:ln>
                <a:noFill/>
              </a:ln>
              <a:effectLst/>
            </c:spPr>
            <c:extLst>
              <c:ext xmlns:c16="http://schemas.microsoft.com/office/drawing/2014/chart" uri="{C3380CC4-5D6E-409C-BE32-E72D297353CC}">
                <c16:uniqueId val="{00000003-8646-45ED-BCBA-EBBAC5B9D25B}"/>
              </c:ext>
            </c:extLst>
          </c:dPt>
          <c:dPt>
            <c:idx val="2"/>
            <c:bubble3D val="0"/>
            <c:spPr>
              <a:solidFill>
                <a:schemeClr val="accent3"/>
              </a:solidFill>
              <a:ln>
                <a:noFill/>
              </a:ln>
              <a:effectLst/>
            </c:spPr>
            <c:extLst>
              <c:ext xmlns:c16="http://schemas.microsoft.com/office/drawing/2014/chart" uri="{C3380CC4-5D6E-409C-BE32-E72D297353CC}">
                <c16:uniqueId val="{00000005-8646-45ED-BCBA-EBBAC5B9D25B}"/>
              </c:ext>
            </c:extLst>
          </c:dPt>
          <c:dPt>
            <c:idx val="3"/>
            <c:bubble3D val="0"/>
            <c:spPr>
              <a:solidFill>
                <a:schemeClr val="accent4"/>
              </a:solidFill>
              <a:ln>
                <a:noFill/>
              </a:ln>
              <a:effectLst/>
            </c:spPr>
            <c:extLst>
              <c:ext xmlns:c16="http://schemas.microsoft.com/office/drawing/2014/chart" uri="{C3380CC4-5D6E-409C-BE32-E72D297353CC}">
                <c16:uniqueId val="{00000007-8646-45ED-BCBA-EBBAC5B9D25B}"/>
              </c:ext>
            </c:extLst>
          </c:dPt>
          <c:dPt>
            <c:idx val="4"/>
            <c:bubble3D val="0"/>
            <c:spPr>
              <a:solidFill>
                <a:schemeClr val="accent5"/>
              </a:solidFill>
              <a:ln>
                <a:noFill/>
              </a:ln>
              <a:effectLst/>
            </c:spPr>
            <c:extLst>
              <c:ext xmlns:c16="http://schemas.microsoft.com/office/drawing/2014/chart" uri="{C3380CC4-5D6E-409C-BE32-E72D297353CC}">
                <c16:uniqueId val="{00000009-8646-45ED-BCBA-EBBAC5B9D25B}"/>
              </c:ext>
            </c:extLst>
          </c:dPt>
          <c:dPt>
            <c:idx val="5"/>
            <c:bubble3D val="0"/>
            <c:spPr>
              <a:solidFill>
                <a:schemeClr val="accent6"/>
              </a:solidFill>
              <a:ln>
                <a:noFill/>
              </a:ln>
              <a:effectLst/>
            </c:spPr>
            <c:extLst>
              <c:ext xmlns:c16="http://schemas.microsoft.com/office/drawing/2014/chart" uri="{C3380CC4-5D6E-409C-BE32-E72D297353CC}">
                <c16:uniqueId val="{00000004-D321-45EB-B860-198C6031CE9B}"/>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PivotTable3!$A$5:$A$11</c:f>
              <c:strCache>
                <c:ptCount val="6"/>
                <c:pt idx="0">
                  <c:v>850-950</c:v>
                </c:pt>
                <c:pt idx="1">
                  <c:v>750-850</c:v>
                </c:pt>
                <c:pt idx="2">
                  <c:v>650-750</c:v>
                </c:pt>
                <c:pt idx="3">
                  <c:v>50-150</c:v>
                </c:pt>
                <c:pt idx="4">
                  <c:v>150-250</c:v>
                </c:pt>
                <c:pt idx="5">
                  <c:v>&lt;50</c:v>
                </c:pt>
              </c:strCache>
            </c:strRef>
          </c:cat>
          <c:val>
            <c:numRef>
              <c:f>PivotTable3!$B$5:$B$11</c:f>
              <c:numCache>
                <c:formatCode>0.00%</c:formatCode>
                <c:ptCount val="6"/>
                <c:pt idx="0">
                  <c:v>0.28282828282828282</c:v>
                </c:pt>
                <c:pt idx="1">
                  <c:v>0.13131313131313133</c:v>
                </c:pt>
                <c:pt idx="2">
                  <c:v>0.15151515151515152</c:v>
                </c:pt>
                <c:pt idx="3">
                  <c:v>0.13131313131313133</c:v>
                </c:pt>
                <c:pt idx="4">
                  <c:v>0.15151515151515152</c:v>
                </c:pt>
                <c:pt idx="5">
                  <c:v>0.15151515151515152</c:v>
                </c:pt>
              </c:numCache>
            </c:numRef>
          </c:val>
          <c:extLst>
            <c:ext xmlns:c16="http://schemas.microsoft.com/office/drawing/2014/chart" uri="{C3380CC4-5D6E-409C-BE32-E72D297353CC}">
              <c16:uniqueId val="{00000002-D321-45EB-B860-198C6031CE9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[GasConsumptionByUtility.xlsm]PivotTable4!PivotTable1</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Count of utilities since 1990</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pivotFmt>
      <c:pivotFmt>
        <c:idx val="4"/>
        <c:spPr>
          <a:solidFill>
            <a:schemeClr val="accent2"/>
          </a:solidFill>
          <a:ln>
            <a:noFill/>
          </a:ln>
          <a:effectLst/>
        </c:spPr>
        <c:marker>
          <c:symbol val="none"/>
        </c:marker>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pivotFmt>
      <c:pivotFmt>
        <c:idx val="9"/>
        <c:spPr>
          <a:solidFill>
            <a:schemeClr val="accent2"/>
          </a:solidFill>
          <a:ln>
            <a:noFill/>
          </a:ln>
          <a:effectLst/>
        </c:spPr>
        <c:marker>
          <c:symbol val="none"/>
        </c:marker>
      </c:pivotFmt>
      <c:pivotFmt>
        <c:idx val="10"/>
        <c:spPr>
          <a:solidFill>
            <a:schemeClr val="accent2"/>
          </a:solidFill>
          <a:ln>
            <a:noFill/>
          </a:ln>
          <a:effectLst/>
        </c:spPr>
        <c:marker>
          <c:symbol val="none"/>
        </c:marker>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pivotFmt>
    </c:pivotFmts>
    <c:plotArea>
      <c:layout>
        <c:manualLayout>
          <c:layoutTarget val="inner"/>
          <c:xMode val="edge"/>
          <c:yMode val="edge"/>
          <c:x val="0.20682007693313512"/>
          <c:y val="0.13785043536224639"/>
          <c:w val="0.69924081738354171"/>
          <c:h val="0.81122359705036873"/>
        </c:manualLayout>
      </c:layout>
      <c:barChart>
        <c:barDir val="bar"/>
        <c:grouping val="clustered"/>
        <c:varyColors val="0"/>
        <c:ser>
          <c:idx val="0"/>
          <c:order val="0"/>
          <c:tx>
            <c:strRef>
              <c:f>PivotTable4!$B$4</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PivotTable4!$A$5:$A$33</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PivotTable4!$B$5:$B$33</c:f>
              <c:numCache>
                <c:formatCode>General</c:formatCode>
                <c:ptCount val="28"/>
                <c:pt idx="0">
                  <c:v>4</c:v>
                </c:pt>
                <c:pt idx="1">
                  <c:v>4</c:v>
                </c:pt>
                <c:pt idx="2">
                  <c:v>4</c:v>
                </c:pt>
                <c:pt idx="3">
                  <c:v>4</c:v>
                </c:pt>
                <c:pt idx="4">
                  <c:v>4</c:v>
                </c:pt>
                <c:pt idx="5">
                  <c:v>4</c:v>
                </c:pt>
                <c:pt idx="6">
                  <c:v>4</c:v>
                </c:pt>
                <c:pt idx="7">
                  <c:v>4</c:v>
                </c:pt>
                <c:pt idx="8">
                  <c:v>4</c:v>
                </c:pt>
                <c:pt idx="9">
                  <c:v>4</c:v>
                </c:pt>
                <c:pt idx="10">
                  <c:v>3</c:v>
                </c:pt>
                <c:pt idx="11">
                  <c:v>4</c:v>
                </c:pt>
                <c:pt idx="12">
                  <c:v>4</c:v>
                </c:pt>
                <c:pt idx="13">
                  <c:v>4</c:v>
                </c:pt>
                <c:pt idx="14">
                  <c:v>4</c:v>
                </c:pt>
                <c:pt idx="15">
                  <c:v>4</c:v>
                </c:pt>
                <c:pt idx="16">
                  <c:v>3</c:v>
                </c:pt>
                <c:pt idx="17">
                  <c:v>3</c:v>
                </c:pt>
                <c:pt idx="18">
                  <c:v>3</c:v>
                </c:pt>
                <c:pt idx="19">
                  <c:v>3</c:v>
                </c:pt>
                <c:pt idx="20">
                  <c:v>3</c:v>
                </c:pt>
                <c:pt idx="21">
                  <c:v>3</c:v>
                </c:pt>
                <c:pt idx="22">
                  <c:v>3</c:v>
                </c:pt>
                <c:pt idx="23">
                  <c:v>3</c:v>
                </c:pt>
                <c:pt idx="24">
                  <c:v>3</c:v>
                </c:pt>
                <c:pt idx="25">
                  <c:v>3</c:v>
                </c:pt>
                <c:pt idx="26">
                  <c:v>3</c:v>
                </c:pt>
                <c:pt idx="27">
                  <c:v>3</c:v>
                </c:pt>
              </c:numCache>
            </c:numRef>
          </c:val>
          <c:extLst>
            <c:ext xmlns:c16="http://schemas.microsoft.com/office/drawing/2014/chart" uri="{C3380CC4-5D6E-409C-BE32-E72D297353CC}">
              <c16:uniqueId val="{00000002-0440-43C0-9C89-884DC8C65A13}"/>
            </c:ext>
          </c:extLst>
        </c:ser>
        <c:dLbls>
          <c:dLblPos val="outEnd"/>
          <c:showLegendKey val="0"/>
          <c:showVal val="1"/>
          <c:showCatName val="0"/>
          <c:showSerName val="0"/>
          <c:showPercent val="0"/>
          <c:showBubbleSize val="0"/>
        </c:dLbls>
        <c:gapWidth val="43"/>
        <c:axId val="508995016"/>
        <c:axId val="508995344"/>
      </c:barChart>
      <c:catAx>
        <c:axId val="5089950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344"/>
        <c:crosses val="autoZero"/>
        <c:auto val="1"/>
        <c:lblAlgn val="ctr"/>
        <c:lblOffset val="100"/>
        <c:noMultiLvlLbl val="0"/>
      </c:catAx>
      <c:valAx>
        <c:axId val="508995344"/>
        <c:scaling>
          <c:orientation val="minMax"/>
        </c:scaling>
        <c:delete val="1"/>
        <c:axPos val="t"/>
        <c:numFmt formatCode="General" sourceLinked="1"/>
        <c:majorTickMark val="none"/>
        <c:minorTickMark val="none"/>
        <c:tickLblPos val="nextTo"/>
        <c:crossAx val="508995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[GasConsumptionByUtility.xlsm]TimeSeries!PivotTable1</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Sum</a:t>
            </a:r>
            <a:r>
              <a:rPr lang="en-US" baseline="0"/>
              <a:t> of Industry &amp; Commercial Sector NG Consumption S</a:t>
            </a:r>
            <a:r>
              <a:rPr lang="en-US"/>
              <a:t>ince 1990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pivotFmt>
      <c:pivotFmt>
        <c:idx val="9"/>
      </c:pivotFmt>
      <c:pivotFmt>
        <c:idx val="10"/>
      </c:pivotFmt>
      <c:pivotFmt>
        <c:idx val="1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chemeClr val="accent2"/>
            </a:solidFill>
            <a:round/>
          </a:ln>
          <a:effectLst/>
        </c:spPr>
        <c:marker>
          <c:symbol val="none"/>
        </c:marker>
      </c:pivotFmt>
      <c:pivotFmt>
        <c:idx val="15"/>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s>
    <c:plotArea>
      <c:layout>
        <c:manualLayout>
          <c:layoutTarget val="inner"/>
          <c:xMode val="edge"/>
          <c:yMode val="edge"/>
          <c:x val="0.10580994378746322"/>
          <c:y val="0.13785043536224639"/>
          <c:w val="0.80025095052921358"/>
          <c:h val="0.65441291142864189"/>
        </c:manualLayout>
      </c:layout>
      <c:lineChart>
        <c:grouping val="standard"/>
        <c:varyColors val="0"/>
        <c:ser>
          <c:idx val="0"/>
          <c:order val="0"/>
          <c:tx>
            <c:strRef>
              <c:f>TimeSeries!$B$4</c:f>
              <c:strCache>
                <c:ptCount val="1"/>
                <c:pt idx="0">
                  <c:v>Sum of Industry</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strRef>
              <c:f>TimeSeries!$A$5:$A$33</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TimeSeries!$B$5:$B$33</c:f>
              <c:numCache>
                <c:formatCode>0</c:formatCode>
                <c:ptCount val="28"/>
                <c:pt idx="0">
                  <c:v>2752.6388160000001</c:v>
                </c:pt>
                <c:pt idx="1">
                  <c:v>2567.9918459999999</c:v>
                </c:pt>
                <c:pt idx="2">
                  <c:v>2412.5642710000002</c:v>
                </c:pt>
                <c:pt idx="3">
                  <c:v>2522.8891049999997</c:v>
                </c:pt>
                <c:pt idx="4">
                  <c:v>2617.4766629999995</c:v>
                </c:pt>
                <c:pt idx="5">
                  <c:v>2758.6883180000004</c:v>
                </c:pt>
                <c:pt idx="6">
                  <c:v>3370.7979190000001</c:v>
                </c:pt>
                <c:pt idx="7">
                  <c:v>3394.1751439999998</c:v>
                </c:pt>
                <c:pt idx="8">
                  <c:v>3350.6687299999999</c:v>
                </c:pt>
                <c:pt idx="9">
                  <c:v>3336.518916</c:v>
                </c:pt>
                <c:pt idx="10">
                  <c:v>3433.7945420000001</c:v>
                </c:pt>
                <c:pt idx="11">
                  <c:v>3241.050718</c:v>
                </c:pt>
                <c:pt idx="12">
                  <c:v>2975.120813</c:v>
                </c:pt>
                <c:pt idx="13">
                  <c:v>2908.3621949999997</c:v>
                </c:pt>
                <c:pt idx="14">
                  <c:v>3494.965209</c:v>
                </c:pt>
                <c:pt idx="15">
                  <c:v>3192.3687150000001</c:v>
                </c:pt>
                <c:pt idx="16">
                  <c:v>3238.4212389999998</c:v>
                </c:pt>
                <c:pt idx="17">
                  <c:v>3030.615605</c:v>
                </c:pt>
                <c:pt idx="18">
                  <c:v>3165.1528269999999</c:v>
                </c:pt>
                <c:pt idx="19">
                  <c:v>2987.5961950000001</c:v>
                </c:pt>
                <c:pt idx="20">
                  <c:v>3134.8668109999999</c:v>
                </c:pt>
                <c:pt idx="21">
                  <c:v>3208.7534029999997</c:v>
                </c:pt>
                <c:pt idx="22">
                  <c:v>3310.3829960000003</c:v>
                </c:pt>
                <c:pt idx="23">
                  <c:v>3367.4796919999999</c:v>
                </c:pt>
                <c:pt idx="24">
                  <c:v>3462.7773159999997</c:v>
                </c:pt>
                <c:pt idx="25">
                  <c:v>3400.7663579999999</c:v>
                </c:pt>
                <c:pt idx="26">
                  <c:v>3555.8116499999996</c:v>
                </c:pt>
                <c:pt idx="27">
                  <c:v>3438.0038800000002</c:v>
                </c:pt>
              </c:numCache>
            </c:numRef>
          </c:val>
          <c:smooth val="0"/>
          <c:extLst>
            <c:ext xmlns:c16="http://schemas.microsoft.com/office/drawing/2014/chart" uri="{C3380CC4-5D6E-409C-BE32-E72D297353CC}">
              <c16:uniqueId val="{00000001-C2F6-4ECF-BE47-6B2794301501}"/>
            </c:ext>
          </c:extLst>
        </c:ser>
        <c:ser>
          <c:idx val="1"/>
          <c:order val="1"/>
          <c:tx>
            <c:strRef>
              <c:f>TimeSeries!$C$4</c:f>
              <c:strCache>
                <c:ptCount val="1"/>
                <c:pt idx="0">
                  <c:v>Sum of Commercial Building</c:v>
                </c:pt>
              </c:strCache>
            </c:strRef>
          </c:tx>
          <c:spPr>
            <a:ln w="28575" cap="rnd">
              <a:solidFill>
                <a:schemeClr val="accent4"/>
              </a:solidFill>
              <a:round/>
            </a:ln>
            <a:effectLst/>
          </c:spPr>
          <c:marker>
            <c:symbol val="none"/>
          </c:marker>
          <c:cat>
            <c:strRef>
              <c:f>TimeSeries!$A$5:$A$33</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TimeSeries!$C$5:$C$33</c:f>
              <c:numCache>
                <c:formatCode>General</c:formatCode>
                <c:ptCount val="28"/>
                <c:pt idx="0">
                  <c:v>1598.561391</c:v>
                </c:pt>
                <c:pt idx="1">
                  <c:v>1601.775592</c:v>
                </c:pt>
                <c:pt idx="2">
                  <c:v>1521.1414110000001</c:v>
                </c:pt>
                <c:pt idx="3">
                  <c:v>1554.792661</c:v>
                </c:pt>
                <c:pt idx="4">
                  <c:v>1637.6984870000001</c:v>
                </c:pt>
                <c:pt idx="5">
                  <c:v>1546.2518380000001</c:v>
                </c:pt>
                <c:pt idx="6">
                  <c:v>1583.8602980000001</c:v>
                </c:pt>
                <c:pt idx="7">
                  <c:v>1584.5835850000001</c:v>
                </c:pt>
                <c:pt idx="8">
                  <c:v>1773.5312250000002</c:v>
                </c:pt>
                <c:pt idx="9">
                  <c:v>1846.3046189999998</c:v>
                </c:pt>
                <c:pt idx="10">
                  <c:v>1823.403478</c:v>
                </c:pt>
                <c:pt idx="11">
                  <c:v>1737.212239</c:v>
                </c:pt>
                <c:pt idx="12">
                  <c:v>1840.3288009999999</c:v>
                </c:pt>
                <c:pt idx="13">
                  <c:v>1895.9894530000001</c:v>
                </c:pt>
                <c:pt idx="14">
                  <c:v>2028.153444</c:v>
                </c:pt>
                <c:pt idx="15">
                  <c:v>1961.241297</c:v>
                </c:pt>
                <c:pt idx="16">
                  <c:v>1955.2272400000002</c:v>
                </c:pt>
                <c:pt idx="17">
                  <c:v>1938.9374539999999</c:v>
                </c:pt>
                <c:pt idx="18">
                  <c:v>1932.429862</c:v>
                </c:pt>
                <c:pt idx="19">
                  <c:v>1892.6883589999998</c:v>
                </c:pt>
                <c:pt idx="20">
                  <c:v>1955.0019979999997</c:v>
                </c:pt>
                <c:pt idx="21">
                  <c:v>1969.066129</c:v>
                </c:pt>
                <c:pt idx="22">
                  <c:v>1962.4488000000001</c:v>
                </c:pt>
                <c:pt idx="23">
                  <c:v>2000.9124650000001</c:v>
                </c:pt>
                <c:pt idx="24">
                  <c:v>1804.8762320000001</c:v>
                </c:pt>
                <c:pt idx="25">
                  <c:v>1821.3073909999998</c:v>
                </c:pt>
                <c:pt idx="26">
                  <c:v>1893.954772</c:v>
                </c:pt>
                <c:pt idx="27">
                  <c:v>1923.9149609999999</c:v>
                </c:pt>
              </c:numCache>
            </c:numRef>
          </c:val>
          <c:smooth val="0"/>
          <c:extLst>
            <c:ext xmlns:c16="http://schemas.microsoft.com/office/drawing/2014/chart" uri="{C3380CC4-5D6E-409C-BE32-E72D297353CC}">
              <c16:uniqueId val="{00000003-C2F6-4ECF-BE47-6B2794301501}"/>
            </c:ext>
          </c:extLst>
        </c:ser>
        <c:dLbls>
          <c:showLegendKey val="0"/>
          <c:showVal val="0"/>
          <c:showCatName val="0"/>
          <c:showSerName val="0"/>
          <c:showPercent val="0"/>
          <c:showBubbleSize val="0"/>
        </c:dLbls>
        <c:marker val="1"/>
        <c:smooth val="0"/>
        <c:axId val="508995016"/>
        <c:axId val="508995344"/>
      </c:lineChart>
      <c:catAx>
        <c:axId val="508995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344"/>
        <c:crosses val="autoZero"/>
        <c:auto val="1"/>
        <c:lblAlgn val="ctr"/>
        <c:lblOffset val="100"/>
        <c:noMultiLvlLbl val="0"/>
      </c:catAx>
      <c:valAx>
        <c:axId val="5089953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016"/>
        <c:crosses val="autoZero"/>
        <c:crossBetween val="between"/>
      </c:valAx>
      <c:spPr>
        <a:noFill/>
        <a:ln>
          <a:noFill/>
        </a:ln>
        <a:effectLst/>
      </c:spPr>
    </c:plotArea>
    <c:legend>
      <c:legendPos val="r"/>
      <c:layout>
        <c:manualLayout>
          <c:xMode val="edge"/>
          <c:yMode val="edge"/>
          <c:x val="0.72418905410813839"/>
          <c:y val="0.54547410563568777"/>
          <c:w val="0.26451150918805838"/>
          <c:h val="0.1962222437214662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D1" fmlaRange="'Appendix A.&lt;dont disturb&gt;'!$A$2:$A$75" noThreeD="1" sel="55" val="54"/>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130968</xdr:colOff>
      <xdr:row>21</xdr:row>
      <xdr:rowOff>154781</xdr:rowOff>
    </xdr:from>
    <xdr:to>
      <xdr:col>7</xdr:col>
      <xdr:colOff>452437</xdr:colOff>
      <xdr:row>36</xdr:row>
      <xdr:rowOff>40481</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13</xdr:col>
      <xdr:colOff>342899</xdr:colOff>
      <xdr:row>6</xdr:row>
      <xdr:rowOff>107156</xdr:rowOff>
    </xdr:from>
    <xdr:to>
      <xdr:col>16</xdr:col>
      <xdr:colOff>290512</xdr:colOff>
      <xdr:row>15</xdr:row>
      <xdr:rowOff>175736</xdr:rowOff>
    </xdr:to>
    <mc:AlternateContent xmlns:mc="http://schemas.openxmlformats.org/markup-compatibility/2006" xmlns:a14="http://schemas.microsoft.com/office/drawing/2010/main">
      <mc:Choice Requires="a14">
        <xdr:graphicFrame macro="">
          <xdr:nvGraphicFramePr>
            <xdr:cNvPr id="5" name="Utility Type">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Utility Type"/>
            </a:graphicData>
          </a:graphic>
        </xdr:graphicFrame>
      </mc:Choice>
      <mc:Fallback xmlns="">
        <xdr:sp macro="" textlink="">
          <xdr:nvSpPr>
            <xdr:cNvPr id="0" name=""/>
            <xdr:cNvSpPr>
              <a:spLocks noTextEdit="1"/>
            </xdr:cNvSpPr>
          </xdr:nvSpPr>
          <xdr:spPr>
            <a:xfrm>
              <a:off x="8303078" y="1250156"/>
              <a:ext cx="1839005" cy="1783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13</xdr:col>
      <xdr:colOff>342899</xdr:colOff>
      <xdr:row>26</xdr:row>
      <xdr:rowOff>176211</xdr:rowOff>
    </xdr:from>
    <xdr:to>
      <xdr:col>16</xdr:col>
      <xdr:colOff>290512</xdr:colOff>
      <xdr:row>36</xdr:row>
      <xdr:rowOff>54291</xdr:rowOff>
    </xdr:to>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303078" y="5129211"/>
              <a:ext cx="1839005" cy="1783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130969</xdr:colOff>
      <xdr:row>6</xdr:row>
      <xdr:rowOff>107156</xdr:rowOff>
    </xdr:from>
    <xdr:to>
      <xdr:col>13</xdr:col>
      <xdr:colOff>180975</xdr:colOff>
      <xdr:row>20</xdr:row>
      <xdr:rowOff>183356</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126397</xdr:colOff>
      <xdr:row>21</xdr:row>
      <xdr:rowOff>154781</xdr:rowOff>
    </xdr:from>
    <xdr:to>
      <xdr:col>13</xdr:col>
      <xdr:colOff>180975</xdr:colOff>
      <xdr:row>36</xdr:row>
      <xdr:rowOff>40481</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119062</xdr:colOff>
      <xdr:row>6</xdr:row>
      <xdr:rowOff>107156</xdr:rowOff>
    </xdr:from>
    <xdr:to>
      <xdr:col>7</xdr:col>
      <xdr:colOff>440531</xdr:colOff>
      <xdr:row>20</xdr:row>
      <xdr:rowOff>183356</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381000</xdr:colOff>
      <xdr:row>6</xdr:row>
      <xdr:rowOff>107156</xdr:rowOff>
    </xdr:from>
    <xdr:to>
      <xdr:col>26</xdr:col>
      <xdr:colOff>595311</xdr:colOff>
      <xdr:row>29</xdr:row>
      <xdr:rowOff>107156</xdr:rowOff>
    </xdr:to>
    <xdr:graphicFrame macro="">
      <xdr:nvGraphicFramePr>
        <xdr:cNvPr id="12" name="Chart 1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119062</xdr:colOff>
      <xdr:row>0</xdr:row>
      <xdr:rowOff>59528</xdr:rowOff>
    </xdr:from>
    <xdr:to>
      <xdr:col>7</xdr:col>
      <xdr:colOff>440531</xdr:colOff>
      <xdr:row>6</xdr:row>
      <xdr:rowOff>50384</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9062" y="59528"/>
          <a:ext cx="4572000" cy="11338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t>California Utility Natural Gas Consumption Dashboard</a:t>
          </a:r>
        </a:p>
        <a:p>
          <a:pPr algn="ctr"/>
          <a:r>
            <a:rPr lang="en-US" sz="1050" b="1"/>
            <a:t>By Tyler Locke</a:t>
          </a:r>
        </a:p>
        <a:p>
          <a:pPr algn="ctr"/>
          <a:endParaRPr lang="en-US" sz="2800" b="1"/>
        </a:p>
        <a:p>
          <a:endParaRPr lang="en-US" sz="1400" b="1"/>
        </a:p>
      </xdr:txBody>
    </xdr:sp>
    <xdr:clientData/>
  </xdr:twoCellAnchor>
  <xdr:twoCellAnchor>
    <xdr:from>
      <xdr:col>8</xdr:col>
      <xdr:colOff>130969</xdr:colOff>
      <xdr:row>0</xdr:row>
      <xdr:rowOff>59531</xdr:rowOff>
    </xdr:from>
    <xdr:to>
      <xdr:col>19</xdr:col>
      <xdr:colOff>95250</xdr:colOff>
      <xdr:row>6</xdr:row>
      <xdr:rowOff>50387</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4988719" y="59531"/>
          <a:ext cx="6703219" cy="11338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Start</a:t>
          </a:r>
          <a:r>
            <a:rPr lang="en-US" sz="1100" baseline="0"/>
            <a:t> here when reviewing the data. This dashboard includes all the pivot charts on one sheet so that every chart can be seen together at a glance. </a:t>
          </a:r>
        </a:p>
        <a:p>
          <a:endParaRPr lang="en-US" sz="1100" baseline="0"/>
        </a:p>
        <a:p>
          <a:r>
            <a:rPr lang="en-US" sz="1100" baseline="0"/>
            <a:t>Use the "Utility Type", "Utility Name" and "Year" Slicers to filter the charts and view the data for multiple utility types, utility names or year or to view one at a time. Click the "</a:t>
          </a:r>
          <a:r>
            <a:rPr lang="en-US" sz="1100" b="0" baseline="0">
              <a:solidFill>
                <a:srgbClr val="FF0000"/>
              </a:solidFill>
            </a:rPr>
            <a:t>X</a:t>
          </a:r>
          <a:r>
            <a:rPr lang="en-US" sz="1100" baseline="0"/>
            <a:t>" on the filter icon to clear all filters on charts.</a:t>
          </a:r>
          <a:endParaRPr lang="en-US" sz="1100"/>
        </a:p>
      </xdr:txBody>
    </xdr:sp>
    <xdr:clientData/>
  </xdr:twoCellAnchor>
  <xdr:twoCellAnchor editAs="oneCell">
    <xdr:from>
      <xdr:col>13</xdr:col>
      <xdr:colOff>342899</xdr:colOff>
      <xdr:row>16</xdr:row>
      <xdr:rowOff>152400</xdr:rowOff>
    </xdr:from>
    <xdr:to>
      <xdr:col>16</xdr:col>
      <xdr:colOff>290512</xdr:colOff>
      <xdr:row>26</xdr:row>
      <xdr:rowOff>30480</xdr:rowOff>
    </xdr:to>
    <mc:AlternateContent xmlns:mc="http://schemas.openxmlformats.org/markup-compatibility/2006" xmlns:a14="http://schemas.microsoft.com/office/drawing/2010/main">
      <mc:Choice Requires="a14">
        <xdr:graphicFrame macro="">
          <xdr:nvGraphicFramePr>
            <xdr:cNvPr id="15" name="Utility Name">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Utility Name"/>
            </a:graphicData>
          </a:graphic>
        </xdr:graphicFrame>
      </mc:Choice>
      <mc:Fallback xmlns="">
        <xdr:sp macro="" textlink="">
          <xdr:nvSpPr>
            <xdr:cNvPr id="0" name=""/>
            <xdr:cNvSpPr>
              <a:spLocks noTextEdit="1"/>
            </xdr:cNvSpPr>
          </xdr:nvSpPr>
          <xdr:spPr>
            <a:xfrm>
              <a:off x="8303078" y="3200400"/>
              <a:ext cx="1839005" cy="1783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215744</xdr:colOff>
      <xdr:row>4</xdr:row>
      <xdr:rowOff>35719</xdr:rowOff>
    </xdr:from>
    <xdr:to>
      <xdr:col>18</xdr:col>
      <xdr:colOff>416718</xdr:colOff>
      <xdr:row>8</xdr:row>
      <xdr:rowOff>47625</xdr:rowOff>
    </xdr:to>
    <xdr:cxnSp macro="">
      <xdr:nvCxnSpPr>
        <xdr:cNvPr id="20" name="Connector: Curved 19">
          <a:extLst>
            <a:ext uri="{FF2B5EF4-FFF2-40B4-BE49-F238E27FC236}">
              <a16:creationId xmlns:a16="http://schemas.microsoft.com/office/drawing/2014/main" id="{00000000-0008-0000-0000-000014000000}"/>
            </a:ext>
          </a:extLst>
        </xdr:cNvPr>
        <xdr:cNvCxnSpPr/>
      </xdr:nvCxnSpPr>
      <xdr:spPr>
        <a:xfrm rot="10800000" flipV="1">
          <a:off x="9990775" y="797719"/>
          <a:ext cx="1415412" cy="773906"/>
        </a:xfrm>
        <a:prstGeom prst="curved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1</xdr:col>
          <xdr:colOff>1771650</xdr:colOff>
          <xdr:row>2</xdr:row>
          <xdr:rowOff>123825</xdr:rowOff>
        </xdr:to>
        <xdr:sp macro="" textlink="">
          <xdr:nvSpPr>
            <xdr:cNvPr id="6145" name="Drop Down 1" descr="Select a Utility to Chart"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1895474</xdr:colOff>
      <xdr:row>0</xdr:row>
      <xdr:rowOff>190499</xdr:rowOff>
    </xdr:from>
    <xdr:to>
      <xdr:col>5</xdr:col>
      <xdr:colOff>685800</xdr:colOff>
      <xdr:row>2</xdr:row>
      <xdr:rowOff>285750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3676649" y="190499"/>
          <a:ext cx="4724401" cy="476251"/>
        </a:xfrm>
        <a:prstGeom prst="rect">
          <a:avLst/>
        </a:prstGeom>
        <a:solidFill>
          <a:schemeClr val="lt1"/>
        </a:solidFill>
        <a:ln w="9525" cmpd="sng">
          <a:solidFill>
            <a:sysClr val="windowText" lastClr="000000"/>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effectLst>
                <a:outerShdw blurRad="50800" dist="38100" dir="2700000" algn="tl" rotWithShape="0">
                  <a:prstClr val="black">
                    <a:alpha val="40000"/>
                  </a:prstClr>
                </a:outerShdw>
              </a:effectLst>
            </a:rPr>
            <a:t>Use</a:t>
          </a:r>
          <a:r>
            <a:rPr lang="en-US" sz="1100" baseline="0">
              <a:effectLst>
                <a:outerShdw blurRad="50800" dist="38100" dir="2700000" algn="tl" rotWithShape="0">
                  <a:prstClr val="black">
                    <a:alpha val="40000"/>
                  </a:prstClr>
                </a:outerShdw>
              </a:effectLst>
            </a:rPr>
            <a:t> the dropdown selector to copy the information for one utility to the "SpecUtilityData" worksheet and generate a utility specific data overview. </a:t>
          </a:r>
        </a:p>
        <a:p>
          <a:endParaRPr lang="en-US" sz="1100"/>
        </a:p>
      </xdr:txBody>
    </xdr:sp>
    <xdr:clientData/>
  </xdr:twoCellAnchor>
  <xdr:twoCellAnchor>
    <xdr:from>
      <xdr:col>1</xdr:col>
      <xdr:colOff>1809750</xdr:colOff>
      <xdr:row>1</xdr:row>
      <xdr:rowOff>76199</xdr:rowOff>
    </xdr:from>
    <xdr:to>
      <xdr:col>1</xdr:col>
      <xdr:colOff>1962150</xdr:colOff>
      <xdr:row>2</xdr:row>
      <xdr:rowOff>85724</xdr:rowOff>
    </xdr:to>
    <xdr:sp macro="" textlink="">
      <xdr:nvSpPr>
        <xdr:cNvPr id="3" name="Arrow: Left 2">
          <a:extLst>
            <a:ext uri="{FF2B5EF4-FFF2-40B4-BE49-F238E27FC236}">
              <a16:creationId xmlns:a16="http://schemas.microsoft.com/office/drawing/2014/main" id="{00000000-0008-0000-0100-000003000000}"/>
            </a:ext>
          </a:extLst>
        </xdr:cNvPr>
        <xdr:cNvSpPr/>
      </xdr:nvSpPr>
      <xdr:spPr>
        <a:xfrm>
          <a:off x="3590925" y="266699"/>
          <a:ext cx="152400" cy="200025"/>
        </a:xfrm>
        <a:prstGeom prst="leftArrow">
          <a:avLst/>
        </a:prstGeom>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effectLst>
              <a:outerShdw blurRad="50800" dist="38100" dir="2700000" algn="tl" rotWithShape="0">
                <a:prstClr val="black">
                  <a:alpha val="40000"/>
                </a:prstClr>
              </a:outerShdw>
            </a:effectLst>
          </a:endParaRPr>
        </a:p>
      </xdr:txBody>
    </xdr:sp>
    <xdr:clientData/>
  </xdr:twoCellAnchor>
  <xdr:twoCellAnchor>
    <xdr:from>
      <xdr:col>5</xdr:col>
      <xdr:colOff>47625</xdr:colOff>
      <xdr:row>1</xdr:row>
      <xdr:rowOff>104775</xdr:rowOff>
    </xdr:from>
    <xdr:to>
      <xdr:col>6</xdr:col>
      <xdr:colOff>9525</xdr:colOff>
      <xdr:row>2</xdr:row>
      <xdr:rowOff>209550</xdr:rowOff>
    </xdr:to>
    <xdr:cxnSp macro="">
      <xdr:nvCxnSpPr>
        <xdr:cNvPr id="7" name="Connector: Elbow 6">
          <a:extLst>
            <a:ext uri="{FF2B5EF4-FFF2-40B4-BE49-F238E27FC236}">
              <a16:creationId xmlns:a16="http://schemas.microsoft.com/office/drawing/2014/main" id="{00000000-0008-0000-0100-000007000000}"/>
            </a:ext>
          </a:extLst>
        </xdr:cNvPr>
        <xdr:cNvCxnSpPr/>
      </xdr:nvCxnSpPr>
      <xdr:spPr>
        <a:xfrm flipV="1">
          <a:off x="7762875" y="295275"/>
          <a:ext cx="1123950" cy="295275"/>
        </a:xfrm>
        <a:prstGeom prst="bentConnector3">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66675</xdr:colOff>
      <xdr:row>0</xdr:row>
      <xdr:rowOff>0</xdr:rowOff>
    </xdr:from>
    <xdr:to>
      <xdr:col>11</xdr:col>
      <xdr:colOff>1038224</xdr:colOff>
      <xdr:row>3</xdr:row>
      <xdr:rowOff>28575</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8943975" y="0"/>
          <a:ext cx="5391149" cy="781050"/>
        </a:xfrm>
        <a:prstGeom prst="rect">
          <a:avLst/>
        </a:prstGeom>
        <a:solidFill>
          <a:schemeClr val="lt1"/>
        </a:solidFill>
        <a:ln w="9525" cmpd="sng">
          <a:solidFill>
            <a:sysClr val="windowText" lastClr="000000"/>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effectLst>
                <a:outerShdw blurRad="50800" dist="38100" dir="2700000" algn="tl" rotWithShape="0">
                  <a:prstClr val="black">
                    <a:alpha val="40000"/>
                  </a:prstClr>
                </a:outerShdw>
              </a:effectLst>
            </a:rPr>
            <a:t>On this side of the data worksheet are the maximum NG consumption values for the major sectors with the  INDEX and MATCH functions used together to find the utilities that matched these levels of consumption. </a:t>
          </a:r>
        </a:p>
        <a:p>
          <a:endParaRPr lang="en-US" sz="1100"/>
        </a:p>
      </xdr:txBody>
    </xdr:sp>
    <xdr:clientData/>
  </xdr:twoCellAnchor>
  <xdr:twoCellAnchor>
    <xdr:from>
      <xdr:col>11</xdr:col>
      <xdr:colOff>581025</xdr:colOff>
      <xdr:row>2</xdr:row>
      <xdr:rowOff>276225</xdr:rowOff>
    </xdr:from>
    <xdr:to>
      <xdr:col>11</xdr:col>
      <xdr:colOff>1219200</xdr:colOff>
      <xdr:row>2</xdr:row>
      <xdr:rowOff>276225</xdr:rowOff>
    </xdr:to>
    <xdr:cxnSp macro="">
      <xdr:nvCxnSpPr>
        <xdr:cNvPr id="11" name="Straight Arrow Connector 10">
          <a:extLst>
            <a:ext uri="{FF2B5EF4-FFF2-40B4-BE49-F238E27FC236}">
              <a16:creationId xmlns:a16="http://schemas.microsoft.com/office/drawing/2014/main" id="{00000000-0008-0000-0100-00000B000000}"/>
            </a:ext>
          </a:extLst>
        </xdr:cNvPr>
        <xdr:cNvCxnSpPr/>
      </xdr:nvCxnSpPr>
      <xdr:spPr>
        <a:xfrm>
          <a:off x="13877925" y="657225"/>
          <a:ext cx="638175"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1905000</xdr:colOff>
          <xdr:row>0</xdr:row>
          <xdr:rowOff>47625</xdr:rowOff>
        </xdr:from>
        <xdr:to>
          <xdr:col>3</xdr:col>
          <xdr:colOff>609600</xdr:colOff>
          <xdr:row>3</xdr:row>
          <xdr:rowOff>38100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Utility Consumption Visualization</a:t>
              </a:r>
            </a:p>
          </xdr:txBody>
        </xdr:sp>
        <xdr:clientData fPrintsWithSheet="0"/>
      </xdr:twoCellAnchor>
    </mc:Choice>
    <mc:Fallback/>
  </mc:AlternateContent>
  <xdr:twoCellAnchor>
    <xdr:from>
      <xdr:col>11</xdr:col>
      <xdr:colOff>0</xdr:colOff>
      <xdr:row>1</xdr:row>
      <xdr:rowOff>0</xdr:rowOff>
    </xdr:from>
    <xdr:to>
      <xdr:col>25</xdr:col>
      <xdr:colOff>355600</xdr:colOff>
      <xdr:row>27</xdr:row>
      <xdr:rowOff>127000</xdr:rowOff>
    </xdr:to>
    <xdr:graphicFrame macro="">
      <xdr:nvGraphicFramePr>
        <xdr:cNvPr id="13355" name="Combo_Chart">
          <a:extLst>
            <a:ext uri="{FF2B5EF4-FFF2-40B4-BE49-F238E27FC236}">
              <a16:creationId xmlns:a16="http://schemas.microsoft.com/office/drawing/2014/main" id="{00000000-0008-0000-0200-00002B34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oneCellAnchor>
    <xdr:from>
      <xdr:col>8</xdr:col>
      <xdr:colOff>219075</xdr:colOff>
      <xdr:row>7</xdr:row>
      <xdr:rowOff>47625</xdr:rowOff>
    </xdr:from>
    <xdr:ext cx="4791075" cy="382990"/>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6916400" y="1885950"/>
              <a:ext cx="4791075" cy="38299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200" b="0" i="1">
                            <a:solidFill>
                              <a:schemeClr val="tx1"/>
                            </a:solidFill>
                            <a:effectLst/>
                            <a:latin typeface="Cambria Math" panose="02040503050406030204" pitchFamily="18" charset="0"/>
                            <a:ea typeface="+mn-ea"/>
                            <a:cs typeface="+mn-cs"/>
                          </a:rPr>
                        </m:ctrlPr>
                      </m:fPr>
                      <m:num>
                        <m:r>
                          <a:rPr lang="en-US" sz="1200" b="0" i="1">
                            <a:solidFill>
                              <a:schemeClr val="tx1"/>
                            </a:solidFill>
                            <a:effectLst/>
                            <a:latin typeface="Cambria Math" panose="02040503050406030204" pitchFamily="18" charset="0"/>
                            <a:ea typeface="+mn-ea"/>
                            <a:cs typeface="+mn-cs"/>
                          </a:rPr>
                          <m:t>𝑘𝑔𝑎𝑙</m:t>
                        </m:r>
                      </m:num>
                      <m:den>
                        <m:r>
                          <a:rPr lang="en-US" sz="1200" b="0" i="1">
                            <a:solidFill>
                              <a:schemeClr val="tx1"/>
                            </a:solidFill>
                            <a:effectLst/>
                            <a:latin typeface="Cambria Math" panose="02040503050406030204" pitchFamily="18" charset="0"/>
                            <a:ea typeface="+mn-ea"/>
                            <a:cs typeface="+mn-cs"/>
                          </a:rPr>
                          <m:t>𝑦𝑒𝑎𝑟</m:t>
                        </m:r>
                      </m:den>
                    </m:f>
                    <m:r>
                      <a:rPr lang="en-US" sz="1200" b="0" i="1">
                        <a:solidFill>
                          <a:schemeClr val="tx1"/>
                        </a:solidFill>
                        <a:effectLst/>
                        <a:latin typeface="Cambria Math" panose="02040503050406030204" pitchFamily="18" charset="0"/>
                        <a:ea typeface="+mn-ea"/>
                        <a:cs typeface="+mn-cs"/>
                      </a:rPr>
                      <m:t> </m:t>
                    </m:r>
                    <m:r>
                      <a:rPr lang="en-US" sz="1200" b="0" i="1">
                        <a:solidFill>
                          <a:schemeClr val="tx1"/>
                        </a:solidFill>
                        <a:effectLst/>
                        <a:latin typeface="Cambria Math" panose="02040503050406030204" pitchFamily="18" charset="0"/>
                        <a:ea typeface="Cambria Math" panose="02040503050406030204" pitchFamily="18" charset="0"/>
                        <a:cs typeface="+mn-cs"/>
                      </a:rPr>
                      <m:t>=</m:t>
                    </m:r>
                    <m:r>
                      <a:rPr lang="en-US" sz="1200" b="0" i="1">
                        <a:solidFill>
                          <a:schemeClr val="tx1"/>
                        </a:solidFill>
                        <a:effectLst/>
                        <a:latin typeface="Cambria Math" panose="02040503050406030204" pitchFamily="18" charset="0"/>
                        <a:ea typeface="Cambria Math" panose="02040503050406030204" pitchFamily="18" charset="0"/>
                        <a:cs typeface="+mn-cs"/>
                      </a:rPr>
                      <m:t>𝐷𝑎𝑖𝑙𝑦𝑈𝑠𝑎𝑔𝑒</m:t>
                    </m:r>
                    <m:r>
                      <a:rPr lang="en-US" sz="1200" b="0" i="1">
                        <a:solidFill>
                          <a:schemeClr val="tx1"/>
                        </a:solidFill>
                        <a:effectLst/>
                        <a:latin typeface="Cambria Math" panose="02040503050406030204" pitchFamily="18" charset="0"/>
                        <a:ea typeface="Cambria Math" panose="02040503050406030204" pitchFamily="18" charset="0"/>
                        <a:cs typeface="+mn-cs"/>
                      </a:rPr>
                      <m:t>(</m:t>
                    </m:r>
                    <m:r>
                      <a:rPr lang="en-US" sz="1200" b="0" i="1">
                        <a:solidFill>
                          <a:schemeClr val="tx1"/>
                        </a:solidFill>
                        <a:effectLst/>
                        <a:latin typeface="Cambria Math" panose="02040503050406030204" pitchFamily="18" charset="0"/>
                        <a:ea typeface="Cambria Math" panose="02040503050406030204" pitchFamily="18" charset="0"/>
                        <a:cs typeface="+mn-cs"/>
                      </a:rPr>
                      <m:t>𝑓</m:t>
                    </m:r>
                    <m:r>
                      <a:rPr lang="en-US" sz="1200" b="0" i="1">
                        <a:solidFill>
                          <a:schemeClr val="tx1"/>
                        </a:solidFill>
                        <a:effectLst/>
                        <a:latin typeface="Cambria Math" panose="02040503050406030204" pitchFamily="18" charset="0"/>
                        <a:ea typeface="Cambria Math" panose="02040503050406030204" pitchFamily="18" charset="0"/>
                        <a:cs typeface="+mn-cs"/>
                      </a:rPr>
                      <m:t>)</m:t>
                    </m:r>
                    <m:f>
                      <m:fPr>
                        <m:ctrlPr>
                          <a:rPr lang="en-US" sz="1200" b="0" i="1">
                            <a:latin typeface="Cambria Math" panose="02040503050406030204" pitchFamily="18" charset="0"/>
                          </a:rPr>
                        </m:ctrlPr>
                      </m:fPr>
                      <m:num>
                        <m:r>
                          <a:rPr lang="en-US" sz="1200" b="0" i="1">
                            <a:latin typeface="Cambria Math" panose="02040503050406030204" pitchFamily="18" charset="0"/>
                          </a:rPr>
                          <m:t>𝑚𝑖𝑛</m:t>
                        </m:r>
                      </m:num>
                      <m:den>
                        <m:r>
                          <a:rPr lang="en-US" sz="1200" b="0" i="1">
                            <a:latin typeface="Cambria Math" panose="02040503050406030204" pitchFamily="18" charset="0"/>
                          </a:rPr>
                          <m:t>𝑑𝑎𝑦</m:t>
                        </m:r>
                      </m:den>
                    </m:f>
                    <m:r>
                      <a:rPr lang="en-US" sz="1200" b="0" i="1">
                        <a:latin typeface="Cambria Math" panose="02040503050406030204" pitchFamily="18" charset="0"/>
                        <a:ea typeface="Cambria Math" panose="02040503050406030204" pitchFamily="18" charset="0"/>
                      </a:rPr>
                      <m:t>×</m:t>
                    </m:r>
                    <m:r>
                      <a:rPr lang="en-US" sz="1200" b="0" i="1">
                        <a:latin typeface="Cambria Math" panose="02040503050406030204" pitchFamily="18" charset="0"/>
                        <a:ea typeface="Cambria Math" panose="02040503050406030204" pitchFamily="18" charset="0"/>
                      </a:rPr>
                      <m:t>𝐹𝑙𝑜𝑤</m:t>
                    </m:r>
                    <m:r>
                      <a:rPr lang="en-US" sz="1200" b="0" i="1">
                        <a:latin typeface="Cambria Math" panose="02040503050406030204" pitchFamily="18" charset="0"/>
                        <a:ea typeface="Cambria Math" panose="02040503050406030204" pitchFamily="18" charset="0"/>
                      </a:rPr>
                      <m:t>(</m:t>
                    </m:r>
                    <m:r>
                      <a:rPr lang="en-US" sz="1200" b="0" i="1">
                        <a:latin typeface="Cambria Math" panose="02040503050406030204" pitchFamily="18" charset="0"/>
                        <a:ea typeface="Cambria Math" panose="02040503050406030204" pitchFamily="18" charset="0"/>
                      </a:rPr>
                      <m:t>𝑓</m:t>
                    </m:r>
                    <m:r>
                      <a:rPr lang="en-US" sz="1200" b="0" i="1">
                        <a:latin typeface="Cambria Math" panose="02040503050406030204" pitchFamily="18" charset="0"/>
                        <a:ea typeface="Cambria Math" panose="02040503050406030204" pitchFamily="18" charset="0"/>
                      </a:rPr>
                      <m:t>)</m:t>
                    </m:r>
                    <m:f>
                      <m:fPr>
                        <m:ctrlPr>
                          <a:rPr lang="en-US" sz="1200" b="0" i="1">
                            <a:latin typeface="Cambria Math" panose="02040503050406030204" pitchFamily="18" charset="0"/>
                            <a:ea typeface="Cambria Math" panose="02040503050406030204" pitchFamily="18" charset="0"/>
                          </a:rPr>
                        </m:ctrlPr>
                      </m:fPr>
                      <m:num>
                        <m:r>
                          <a:rPr lang="en-US" sz="1200" b="0" i="1">
                            <a:latin typeface="Cambria Math" panose="02040503050406030204" pitchFamily="18" charset="0"/>
                            <a:ea typeface="Cambria Math" panose="02040503050406030204" pitchFamily="18" charset="0"/>
                          </a:rPr>
                          <m:t>𝑔𝑎𝑙</m:t>
                        </m:r>
                      </m:num>
                      <m:den>
                        <m:r>
                          <a:rPr lang="en-US" sz="1200" b="0" i="1">
                            <a:latin typeface="Cambria Math" panose="02040503050406030204" pitchFamily="18" charset="0"/>
                            <a:ea typeface="Cambria Math" panose="02040503050406030204" pitchFamily="18" charset="0"/>
                          </a:rPr>
                          <m:t>𝑚𝑖𝑛</m:t>
                        </m:r>
                      </m:den>
                    </m:f>
                    <m:r>
                      <a:rPr lang="en-US" sz="1200" b="0" i="1">
                        <a:latin typeface="Cambria Math" panose="02040503050406030204" pitchFamily="18" charset="0"/>
                        <a:ea typeface="Cambria Math" panose="02040503050406030204" pitchFamily="18" charset="0"/>
                      </a:rPr>
                      <m:t>×365 </m:t>
                    </m:r>
                    <m:f>
                      <m:fPr>
                        <m:ctrlPr>
                          <a:rPr lang="en-US" sz="1200" b="0" i="1">
                            <a:latin typeface="Cambria Math" panose="02040503050406030204" pitchFamily="18" charset="0"/>
                            <a:ea typeface="Cambria Math" panose="02040503050406030204" pitchFamily="18" charset="0"/>
                          </a:rPr>
                        </m:ctrlPr>
                      </m:fPr>
                      <m:num>
                        <m:r>
                          <a:rPr lang="en-US" sz="1200" b="0" i="1">
                            <a:latin typeface="Cambria Math" panose="02040503050406030204" pitchFamily="18" charset="0"/>
                            <a:ea typeface="Cambria Math" panose="02040503050406030204" pitchFamily="18" charset="0"/>
                          </a:rPr>
                          <m:t>𝑑𝑎𝑦𝑠</m:t>
                        </m:r>
                      </m:num>
                      <m:den>
                        <m:r>
                          <a:rPr lang="en-US" sz="1200" b="0" i="1">
                            <a:latin typeface="Cambria Math" panose="02040503050406030204" pitchFamily="18" charset="0"/>
                            <a:ea typeface="Cambria Math" panose="02040503050406030204" pitchFamily="18" charset="0"/>
                          </a:rPr>
                          <m:t>𝑦𝑒𝑎𝑟</m:t>
                        </m:r>
                      </m:den>
                    </m:f>
                    <m:r>
                      <a:rPr lang="en-US" sz="1200" b="0" i="1">
                        <a:latin typeface="Cambria Math" panose="02040503050406030204" pitchFamily="18" charset="0"/>
                        <a:ea typeface="Cambria Math" panose="02040503050406030204" pitchFamily="18" charset="0"/>
                      </a:rPr>
                      <m:t>×</m:t>
                    </m:r>
                    <m:f>
                      <m:fPr>
                        <m:ctrlPr>
                          <a:rPr lang="en-US" sz="1200" b="0" i="1">
                            <a:latin typeface="Cambria Math" panose="02040503050406030204" pitchFamily="18" charset="0"/>
                            <a:ea typeface="Cambria Math" panose="02040503050406030204" pitchFamily="18" charset="0"/>
                          </a:rPr>
                        </m:ctrlPr>
                      </m:fPr>
                      <m:num>
                        <m:r>
                          <a:rPr lang="en-US" sz="1200" b="0" i="1">
                            <a:latin typeface="Cambria Math" panose="02040503050406030204" pitchFamily="18" charset="0"/>
                            <a:ea typeface="Cambria Math" panose="02040503050406030204" pitchFamily="18" charset="0"/>
                          </a:rPr>
                          <m:t>1 </m:t>
                        </m:r>
                        <m:r>
                          <a:rPr lang="en-US" sz="1200" b="0" i="1">
                            <a:latin typeface="Cambria Math" panose="02040503050406030204" pitchFamily="18" charset="0"/>
                            <a:ea typeface="Cambria Math" panose="02040503050406030204" pitchFamily="18" charset="0"/>
                          </a:rPr>
                          <m:t>𝑘𝑔𝑎𝑙</m:t>
                        </m:r>
                      </m:num>
                      <m:den>
                        <m:r>
                          <a:rPr lang="en-US" sz="1200" b="0" i="1">
                            <a:latin typeface="Cambria Math" panose="02040503050406030204" pitchFamily="18" charset="0"/>
                            <a:ea typeface="Cambria Math" panose="02040503050406030204" pitchFamily="18" charset="0"/>
                          </a:rPr>
                          <m:t>1000 </m:t>
                        </m:r>
                        <m:r>
                          <a:rPr lang="en-US" sz="1200" b="0" i="1">
                            <a:latin typeface="Cambria Math" panose="02040503050406030204" pitchFamily="18" charset="0"/>
                            <a:ea typeface="Cambria Math" panose="02040503050406030204" pitchFamily="18" charset="0"/>
                          </a:rPr>
                          <m:t>𝑔𝑎𝑙</m:t>
                        </m:r>
                      </m:den>
                    </m:f>
                    <m:r>
                      <a:rPr lang="en-US" sz="1200" b="0" i="1">
                        <a:latin typeface="Cambria Math" panose="02040503050406030204" pitchFamily="18" charset="0"/>
                      </a:rPr>
                      <m:t> </m:t>
                    </m:r>
                  </m:oMath>
                </m:oMathPara>
              </a14:m>
              <a:endParaRPr lang="en-US" sz="1200"/>
            </a:p>
          </xdr:txBody>
        </xdr:sp>
      </mc:Choice>
      <mc:Fallback xmlns="">
        <xdr:sp macro="" textlink="">
          <xdr:nvSpPr>
            <xdr:cNvPr id="3" name="TextBox 2">
              <a:extLst>
                <a:ext uri="{FF2B5EF4-FFF2-40B4-BE49-F238E27FC236}">
                  <a16:creationId xmlns:a16="http://schemas.microsoft.com/office/drawing/2014/main" id="{9B21B45D-9620-4B8F-9C3C-E84CE3A56755}"/>
                </a:ext>
              </a:extLst>
            </xdr:cNvPr>
            <xdr:cNvSpPr txBox="1"/>
          </xdr:nvSpPr>
          <xdr:spPr>
            <a:xfrm>
              <a:off x="16916400" y="1885950"/>
              <a:ext cx="4791075" cy="38299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solidFill>
                    <a:schemeClr val="tx1"/>
                  </a:solidFill>
                  <a:effectLst/>
                  <a:latin typeface="Cambria Math" panose="02040503050406030204" pitchFamily="18" charset="0"/>
                  <a:ea typeface="+mn-ea"/>
                  <a:cs typeface="+mn-cs"/>
                </a:rPr>
                <a:t>𝑘𝑔𝑎𝑙/𝑦𝑒𝑎𝑟  </a:t>
              </a:r>
              <a:r>
                <a:rPr lang="en-US" sz="1200" b="0" i="0">
                  <a:solidFill>
                    <a:schemeClr val="tx1"/>
                  </a:solidFill>
                  <a:effectLst/>
                  <a:latin typeface="Cambria Math" panose="02040503050406030204" pitchFamily="18" charset="0"/>
                  <a:ea typeface="Cambria Math" panose="02040503050406030204" pitchFamily="18" charset="0"/>
                  <a:cs typeface="+mn-cs"/>
                </a:rPr>
                <a:t>=𝐷𝑎𝑖𝑙𝑦𝑈𝑠𝑎𝑔𝑒(𝑓)</a:t>
              </a:r>
              <a:r>
                <a:rPr lang="en-US" sz="1200" b="0" i="0">
                  <a:latin typeface="Cambria Math" panose="02040503050406030204" pitchFamily="18" charset="0"/>
                </a:rPr>
                <a:t>𝑚𝑖𝑛/𝑑𝑎𝑦</a:t>
              </a:r>
              <a:r>
                <a:rPr lang="en-US" sz="1200" b="0" i="0">
                  <a:latin typeface="Cambria Math" panose="02040503050406030204" pitchFamily="18" charset="0"/>
                  <a:ea typeface="Cambria Math" panose="02040503050406030204" pitchFamily="18" charset="0"/>
                </a:rPr>
                <a:t>×𝐹𝑙𝑜𝑤(𝑓)𝑔𝑎𝑙/𝑚𝑖𝑛×365  𝑑𝑎𝑦𝑠/𝑦𝑒𝑎𝑟×(1 𝑘𝑔𝑎𝑙)/(1000 𝑔𝑎𝑙) </a:t>
              </a:r>
              <a:r>
                <a:rPr lang="en-US" sz="1200" b="0" i="0">
                  <a:latin typeface="Cambria Math" panose="02040503050406030204" pitchFamily="18" charset="0"/>
                </a:rPr>
                <a:t> </a:t>
              </a:r>
              <a:endParaRPr lang="en-US" sz="1200"/>
            </a:p>
          </xdr:txBody>
        </xdr:sp>
      </mc:Fallback>
    </mc:AlternateContent>
    <xdr:clientData/>
  </xdr:oneCellAnchor>
  <xdr:oneCellAnchor>
    <xdr:from>
      <xdr:col>8</xdr:col>
      <xdr:colOff>19050</xdr:colOff>
      <xdr:row>19</xdr:row>
      <xdr:rowOff>180975</xdr:rowOff>
    </xdr:from>
    <xdr:ext cx="9866227" cy="38036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629275" y="6134100"/>
              <a:ext cx="9866227" cy="38036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𝐴𝑛𝑛𝑢𝑎𝑙𝑇h𝑒𝑟𝑚𝑠𝑆𝑎𝑣𝑒𝑑</m:t>
                    </m:r>
                    <m:r>
                      <a:rPr lang="en-US" sz="1100" b="0" i="1">
                        <a:latin typeface="Cambria Math" panose="02040503050406030204" pitchFamily="18" charset="0"/>
                      </a:rPr>
                      <m:t> = </m:t>
                    </m:r>
                    <m:f>
                      <m:fPr>
                        <m:ctrlPr>
                          <a:rPr lang="en-US" sz="1100" b="0" i="1">
                            <a:latin typeface="Cambria Math" panose="02040503050406030204" pitchFamily="18" charset="0"/>
                          </a:rPr>
                        </m:ctrlPr>
                      </m:fPr>
                      <m:num>
                        <m:r>
                          <a:rPr lang="en-US" sz="1100" b="0" i="1">
                            <a:latin typeface="Cambria Math" panose="02040503050406030204" pitchFamily="18" charset="0"/>
                          </a:rPr>
                          <m:t>𝑔𝑎𝑙</m:t>
                        </m:r>
                        <m:r>
                          <a:rPr lang="en-US" sz="1100" b="0" i="1">
                            <a:latin typeface="Cambria Math" panose="02040503050406030204" pitchFamily="18" charset="0"/>
                          </a:rPr>
                          <m:t> </m:t>
                        </m:r>
                        <m:r>
                          <a:rPr lang="en-US" sz="1100" b="0" i="1">
                            <a:latin typeface="Cambria Math" panose="02040503050406030204" pitchFamily="18" charset="0"/>
                          </a:rPr>
                          <m:t>𝑜𝑓</m:t>
                        </m:r>
                        <m:r>
                          <a:rPr lang="en-US" sz="1100" b="0" i="1">
                            <a:latin typeface="Cambria Math" panose="02040503050406030204" pitchFamily="18" charset="0"/>
                          </a:rPr>
                          <m:t> </m:t>
                        </m:r>
                        <m:r>
                          <a:rPr lang="en-US" sz="1100" b="0" i="1">
                            <a:latin typeface="Cambria Math" panose="02040503050406030204" pitchFamily="18" charset="0"/>
                          </a:rPr>
                          <m:t>𝑤𝑎𝑡𝑒𝑟</m:t>
                        </m:r>
                        <m:r>
                          <a:rPr lang="en-US" sz="1100" b="0" i="1">
                            <a:latin typeface="Cambria Math" panose="02040503050406030204" pitchFamily="18" charset="0"/>
                          </a:rPr>
                          <m:t> </m:t>
                        </m:r>
                        <m:r>
                          <a:rPr lang="en-US" sz="1100" b="0" i="1">
                            <a:latin typeface="Cambria Math" panose="02040503050406030204" pitchFamily="18" charset="0"/>
                          </a:rPr>
                          <m:t>𝑠𝑎𝑣𝑒𝑑</m:t>
                        </m:r>
                      </m:num>
                      <m:den>
                        <m:r>
                          <a:rPr lang="en-US" sz="1100" b="0" i="1">
                            <a:latin typeface="Cambria Math" panose="02040503050406030204" pitchFamily="18" charset="0"/>
                          </a:rPr>
                          <m:t>𝑦𝑒𝑎𝑟</m:t>
                        </m:r>
                      </m:den>
                    </m:f>
                    <m:r>
                      <a:rPr lang="en-US" sz="1100" b="0" i="1">
                        <a:latin typeface="Cambria Math" panose="02040503050406030204" pitchFamily="18" charset="0"/>
                      </a:rPr>
                      <m:t> </m:t>
                    </m:r>
                    <m:r>
                      <a:rPr lang="en-US" sz="1100" b="0" i="1">
                        <a:latin typeface="Cambria Math" panose="02040503050406030204" pitchFamily="18" charset="0"/>
                        <a:ea typeface="Cambria Math" panose="02040503050406030204" pitchFamily="18" charset="0"/>
                      </a:rPr>
                      <m:t>×8.33 </m:t>
                    </m:r>
                    <m:f>
                      <m:fPr>
                        <m:ctrlPr>
                          <a:rPr lang="en-US" sz="1100" b="0" i="1">
                            <a:latin typeface="Cambria Math" panose="02040503050406030204" pitchFamily="18" charset="0"/>
                            <a:ea typeface="Cambria Math" panose="02040503050406030204" pitchFamily="18" charset="0"/>
                          </a:rPr>
                        </m:ctrlPr>
                      </m:fPr>
                      <m:num>
                        <m:r>
                          <a:rPr lang="en-US" sz="1100" b="0" i="1">
                            <a:latin typeface="Cambria Math" panose="02040503050406030204" pitchFamily="18" charset="0"/>
                            <a:ea typeface="Cambria Math" panose="02040503050406030204" pitchFamily="18" charset="0"/>
                          </a:rPr>
                          <m:t>𝑙𝑏</m:t>
                        </m:r>
                      </m:num>
                      <m:den>
                        <m:r>
                          <a:rPr lang="en-US" sz="1100" b="0" i="1">
                            <a:latin typeface="Cambria Math" panose="02040503050406030204" pitchFamily="18" charset="0"/>
                            <a:ea typeface="Cambria Math" panose="02040503050406030204" pitchFamily="18" charset="0"/>
                          </a:rPr>
                          <m:t>𝑔𝑎𝑙</m:t>
                        </m:r>
                      </m:den>
                    </m:f>
                    <m:r>
                      <a:rPr lang="en-US" sz="1100" b="0" i="1">
                        <a:latin typeface="Cambria Math" panose="02040503050406030204" pitchFamily="18" charset="0"/>
                        <a:ea typeface="Cambria Math" panose="02040503050406030204" pitchFamily="18" charset="0"/>
                      </a:rPr>
                      <m:t> × </m:t>
                    </m:r>
                    <m:f>
                      <m:fPr>
                        <m:ctrlPr>
                          <a:rPr lang="en-US" sz="1100" b="0" i="1">
                            <a:latin typeface="Cambria Math" panose="02040503050406030204" pitchFamily="18" charset="0"/>
                            <a:ea typeface="Cambria Math" panose="02040503050406030204" pitchFamily="18" charset="0"/>
                          </a:rPr>
                        </m:ctrlPr>
                      </m:fPr>
                      <m:num>
                        <m:r>
                          <a:rPr lang="en-US" sz="1100" b="0" i="1">
                            <a:latin typeface="Cambria Math" panose="02040503050406030204" pitchFamily="18" charset="0"/>
                            <a:ea typeface="Cambria Math" panose="02040503050406030204" pitchFamily="18" charset="0"/>
                          </a:rPr>
                          <m:t>1 </m:t>
                        </m:r>
                        <m:r>
                          <a:rPr lang="en-US" sz="1100" b="0" i="1">
                            <a:latin typeface="Cambria Math" panose="02040503050406030204" pitchFamily="18" charset="0"/>
                            <a:ea typeface="Cambria Math" panose="02040503050406030204" pitchFamily="18" charset="0"/>
                          </a:rPr>
                          <m:t>𝐵𝑇𝑈</m:t>
                        </m:r>
                      </m:num>
                      <m:den>
                        <m:r>
                          <a:rPr lang="en-US" sz="1100" b="0" i="1">
                            <a:latin typeface="Cambria Math" panose="02040503050406030204" pitchFamily="18" charset="0"/>
                            <a:ea typeface="Cambria Math" panose="02040503050406030204" pitchFamily="18" charset="0"/>
                          </a:rPr>
                          <m:t>𝑙𝑏</m:t>
                        </m:r>
                        <m:r>
                          <a:rPr lang="en-US" sz="1100" b="0" i="1">
                            <a:latin typeface="Cambria Math" panose="02040503050406030204" pitchFamily="18" charset="0"/>
                            <a:ea typeface="Cambria Math" panose="02040503050406030204" pitchFamily="18" charset="0"/>
                          </a:rPr>
                          <m:t>℉</m:t>
                        </m:r>
                      </m:den>
                    </m:f>
                    <m:r>
                      <a:rPr lang="en-US" sz="1100" b="0" i="1">
                        <a:latin typeface="Cambria Math" panose="02040503050406030204" pitchFamily="18" charset="0"/>
                        <a:ea typeface="Cambria Math" panose="02040503050406030204" pitchFamily="18" charset="0"/>
                      </a:rPr>
                      <m:t> × </m:t>
                    </m:r>
                    <m:f>
                      <m:fPr>
                        <m:ctrlPr>
                          <a:rPr lang="en-US" sz="1100" b="0" i="1">
                            <a:latin typeface="Cambria Math" panose="02040503050406030204" pitchFamily="18" charset="0"/>
                            <a:ea typeface="Cambria Math" panose="02040503050406030204" pitchFamily="18" charset="0"/>
                          </a:rPr>
                        </m:ctrlPr>
                      </m:fPr>
                      <m:num>
                        <m:r>
                          <a:rPr lang="en-US" sz="1100" b="0" i="1">
                            <a:latin typeface="Cambria Math" panose="02040503050406030204" pitchFamily="18" charset="0"/>
                            <a:ea typeface="Cambria Math" panose="02040503050406030204" pitchFamily="18" charset="0"/>
                          </a:rPr>
                          <m:t>1 </m:t>
                        </m:r>
                        <m:r>
                          <a:rPr lang="en-US" sz="1100" b="0" i="1">
                            <a:latin typeface="Cambria Math" panose="02040503050406030204" pitchFamily="18" charset="0"/>
                            <a:ea typeface="Cambria Math" panose="02040503050406030204" pitchFamily="18" charset="0"/>
                          </a:rPr>
                          <m:t>𝑡h𝑒𝑟𝑚</m:t>
                        </m:r>
                      </m:num>
                      <m:den>
                        <m:r>
                          <a:rPr lang="en-US" sz="1100" b="0" i="1">
                            <a:latin typeface="Cambria Math" panose="02040503050406030204" pitchFamily="18" charset="0"/>
                            <a:ea typeface="Cambria Math" panose="02040503050406030204" pitchFamily="18" charset="0"/>
                          </a:rPr>
                          <m:t>100,000 </m:t>
                        </m:r>
                        <m:r>
                          <a:rPr lang="en-US" sz="1100" b="0" i="1">
                            <a:latin typeface="Cambria Math" panose="02040503050406030204" pitchFamily="18" charset="0"/>
                            <a:ea typeface="Cambria Math" panose="02040503050406030204" pitchFamily="18" charset="0"/>
                          </a:rPr>
                          <m:t>𝐵𝑇𝑈</m:t>
                        </m:r>
                      </m:den>
                    </m:f>
                    <m:r>
                      <a:rPr lang="en-US" sz="1100" b="0" i="1">
                        <a:latin typeface="Cambria Math" panose="02040503050406030204" pitchFamily="18" charset="0"/>
                        <a:ea typeface="Cambria Math" panose="02040503050406030204" pitchFamily="18" charset="0"/>
                      </a:rPr>
                      <m:t> ×</m:t>
                    </m:r>
                    <m:d>
                      <m:dPr>
                        <m:ctrlPr>
                          <a:rPr lang="en-US" sz="1100" b="0" i="1">
                            <a:latin typeface="Cambria Math" panose="02040503050406030204" pitchFamily="18" charset="0"/>
                            <a:ea typeface="Cambria Math" panose="02040503050406030204" pitchFamily="18" charset="0"/>
                          </a:rPr>
                        </m:ctrlPr>
                      </m:dPr>
                      <m:e>
                        <m:r>
                          <a:rPr lang="en-US" sz="1100" b="0" i="1">
                            <a:solidFill>
                              <a:schemeClr val="tx1"/>
                            </a:solidFill>
                            <a:effectLst/>
                            <a:latin typeface="Cambria Math" panose="02040503050406030204" pitchFamily="18" charset="0"/>
                            <a:ea typeface="+mn-ea"/>
                            <a:cs typeface="+mn-cs"/>
                          </a:rPr>
                          <m:t>105℉ −</m:t>
                        </m:r>
                        <m:r>
                          <a:rPr lang="en-US" sz="1100" b="0" i="1">
                            <a:solidFill>
                              <a:schemeClr val="tx1"/>
                            </a:solidFill>
                            <a:effectLst/>
                            <a:latin typeface="Cambria Math" panose="02040503050406030204" pitchFamily="18" charset="0"/>
                            <a:ea typeface="+mn-ea"/>
                            <a:cs typeface="+mn-cs"/>
                          </a:rPr>
                          <m:t>𝐶𝑙𝑖𝑚𝑎𝑡𝑒</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𝑍𝑜𝑛𝑒</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𝐺𝑟𝑜𝑢𝑛𝑑</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𝑊𝑎𝑡𝑒𝑟</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𝑇𝑒𝑚𝑝</m:t>
                        </m:r>
                        <m:r>
                          <a:rPr lang="en-US" sz="1100" b="0" i="1">
                            <a:solidFill>
                              <a:schemeClr val="tx1"/>
                            </a:solidFill>
                            <a:effectLst/>
                            <a:latin typeface="Cambria Math" panose="02040503050406030204" pitchFamily="18" charset="0"/>
                            <a:ea typeface="+mn-ea"/>
                            <a:cs typeface="+mn-cs"/>
                          </a:rPr>
                          <m:t>℉</m:t>
                        </m:r>
                      </m:e>
                    </m:d>
                    <m:r>
                      <a:rPr lang="en-US" sz="1100" b="0" i="1">
                        <a:latin typeface="Cambria Math" panose="02040503050406030204" pitchFamily="18" charset="0"/>
                        <a:ea typeface="Cambria Math" panose="02040503050406030204" pitchFamily="18" charset="0"/>
                      </a:rPr>
                      <m:t> × </m:t>
                    </m:r>
                    <m:d>
                      <m:dPr>
                        <m:ctrlPr>
                          <a:rPr lang="en-US" sz="1100" b="0" i="1">
                            <a:latin typeface="Cambria Math" panose="02040503050406030204" pitchFamily="18" charset="0"/>
                            <a:ea typeface="Cambria Math" panose="02040503050406030204" pitchFamily="18" charset="0"/>
                          </a:rPr>
                        </m:ctrlPr>
                      </m:dPr>
                      <m:e>
                        <m:f>
                          <m:fPr>
                            <m:ctrlPr>
                              <a:rPr lang="en-US" sz="1100" b="0" i="1">
                                <a:latin typeface="Cambria Math" panose="02040503050406030204" pitchFamily="18" charset="0"/>
                                <a:ea typeface="Cambria Math" panose="02040503050406030204" pitchFamily="18" charset="0"/>
                              </a:rPr>
                            </m:ctrlPr>
                          </m:fPr>
                          <m:num>
                            <m:r>
                              <a:rPr lang="en-US" sz="1100" b="0" i="1">
                                <a:latin typeface="Cambria Math" panose="02040503050406030204" pitchFamily="18" charset="0"/>
                                <a:ea typeface="Cambria Math" panose="02040503050406030204" pitchFamily="18" charset="0"/>
                              </a:rPr>
                              <m:t>1</m:t>
                            </m:r>
                          </m:num>
                          <m:den>
                            <m:r>
                              <a:rPr lang="en-US" sz="1100" b="0" i="1">
                                <a:latin typeface="Cambria Math" panose="02040503050406030204" pitchFamily="18" charset="0"/>
                                <a:ea typeface="Cambria Math" panose="02040503050406030204" pitchFamily="18" charset="0"/>
                              </a:rPr>
                              <m:t>𝐵𝑜𝑖𝑙𝑒𝑟</m:t>
                            </m:r>
                            <m:r>
                              <a:rPr lang="en-US" sz="1100" b="0" i="1">
                                <a:latin typeface="Cambria Math" panose="02040503050406030204" pitchFamily="18" charset="0"/>
                                <a:ea typeface="Cambria Math" panose="02040503050406030204" pitchFamily="18" charset="0"/>
                              </a:rPr>
                              <m:t> </m:t>
                            </m:r>
                            <m:r>
                              <a:rPr lang="en-US" sz="1100" b="0" i="1">
                                <a:latin typeface="Cambria Math" panose="02040503050406030204" pitchFamily="18" charset="0"/>
                                <a:ea typeface="Cambria Math" panose="02040503050406030204" pitchFamily="18" charset="0"/>
                              </a:rPr>
                              <m:t>𝐸𝑓𝑓𝑖𝑐𝑖𝑒𝑛𝑐𝑦</m:t>
                            </m:r>
                          </m:den>
                        </m:f>
                      </m:e>
                    </m:d>
                  </m:oMath>
                </m:oMathPara>
              </a14:m>
              <a:endParaRPr lang="en-US" sz="1100"/>
            </a:p>
          </xdr:txBody>
        </xdr:sp>
      </mc:Choice>
      <mc:Fallback xmlns="">
        <xdr:sp macro="" textlink="">
          <xdr:nvSpPr>
            <xdr:cNvPr id="4" name="TextBox 3">
              <a:extLst>
                <a:ext uri="{FF2B5EF4-FFF2-40B4-BE49-F238E27FC236}">
                  <a16:creationId xmlns:a16="http://schemas.microsoft.com/office/drawing/2014/main" id="{59F12617-4A21-4B45-923E-C9ABE5D22E15}"/>
                </a:ext>
              </a:extLst>
            </xdr:cNvPr>
            <xdr:cNvSpPr txBox="1"/>
          </xdr:nvSpPr>
          <xdr:spPr>
            <a:xfrm>
              <a:off x="5629275" y="6134100"/>
              <a:ext cx="9866227" cy="38036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lgn="l"/>
              <a:r>
                <a:rPr lang="en-US" sz="1100" b="0" i="0">
                  <a:latin typeface="Cambria Math" panose="02040503050406030204" pitchFamily="18" charset="0"/>
                </a:rPr>
                <a:t>𝐴𝑛𝑛𝑢𝑎𝑙𝑇ℎ𝑒𝑟𝑚𝑠𝑆𝑎𝑣𝑒𝑑 =  (𝑔𝑎𝑙 𝑜𝑓 𝑤𝑎𝑡𝑒𝑟 𝑠𝑎𝑣𝑒𝑑)/𝑦𝑒𝑎𝑟  </a:t>
              </a:r>
              <a:r>
                <a:rPr lang="en-US" sz="1100" b="0" i="0">
                  <a:latin typeface="Cambria Math" panose="02040503050406030204" pitchFamily="18" charset="0"/>
                  <a:ea typeface="Cambria Math" panose="02040503050406030204" pitchFamily="18" charset="0"/>
                </a:rPr>
                <a:t>×8.33  𝑙𝑏/𝑔𝑎𝑙  ×  (1 𝐵𝑇𝑈)/(𝑙𝑏℉)  ×  (1 𝑡ℎ𝑒𝑟𝑚)/(100,000 𝐵𝑇𝑈)  ×(</a:t>
              </a:r>
              <a:r>
                <a:rPr lang="en-US" sz="1100" b="0" i="0">
                  <a:solidFill>
                    <a:schemeClr val="tx1"/>
                  </a:solidFill>
                  <a:effectLst/>
                  <a:latin typeface="Cambria Math" panose="02040503050406030204" pitchFamily="18" charset="0"/>
                  <a:ea typeface="+mn-ea"/>
                  <a:cs typeface="+mn-cs"/>
                </a:rPr>
                <a:t>105℉ −𝐶𝑙𝑖𝑚𝑎𝑡𝑒 𝑍𝑜𝑛𝑒 𝐺𝑟𝑜𝑢𝑛𝑑 𝑊𝑎𝑡𝑒𝑟 𝑇𝑒𝑚𝑝℉)</a:t>
              </a:r>
              <a:r>
                <a:rPr lang="en-US" sz="1100" b="0" i="0">
                  <a:solidFill>
                    <a:schemeClr val="tx1"/>
                  </a:solidFill>
                  <a:effectLst/>
                  <a:latin typeface="Cambria Math" panose="02040503050406030204" pitchFamily="18" charset="0"/>
                  <a:ea typeface="Cambria Math" panose="02040503050406030204" pitchFamily="18" charset="0"/>
                  <a:cs typeface="+mn-cs"/>
                </a:rPr>
                <a:t> </a:t>
              </a:r>
              <a:r>
                <a:rPr lang="en-US" sz="1100" b="0" i="0">
                  <a:latin typeface="Cambria Math" panose="02040503050406030204" pitchFamily="18" charset="0"/>
                  <a:ea typeface="Cambria Math" panose="02040503050406030204" pitchFamily="18" charset="0"/>
                </a:rPr>
                <a:t> × (1/(𝐵𝑜𝑖𝑙𝑒𝑟 𝐸𝑓𝑓𝑖𝑐𝑖𝑒𝑛𝑐𝑦))</a:t>
              </a:r>
              <a:endParaRPr lang="en-US" sz="1100"/>
            </a:p>
          </xdr:txBody>
        </xdr:sp>
      </mc:Fallback>
    </mc:AlternateContent>
    <xdr:clientData/>
  </xdr:oneCellAnchor>
  <xdr:oneCellAnchor>
    <xdr:from>
      <xdr:col>8</xdr:col>
      <xdr:colOff>19050</xdr:colOff>
      <xdr:row>22</xdr:row>
      <xdr:rowOff>78582</xdr:rowOff>
    </xdr:from>
    <xdr:ext cx="6920677" cy="380361"/>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629275" y="6603207"/>
              <a:ext cx="6920677" cy="38036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lgn="l"/>
              <a14:m>
                <m:oMathPara xmlns:m="http://schemas.openxmlformats.org/officeDocument/2006/math">
                  <m:oMathParaPr>
                    <m:jc m:val="left"/>
                  </m:oMathParaPr>
                  <m:oMath xmlns:m="http://schemas.openxmlformats.org/officeDocument/2006/math">
                    <m:r>
                      <a:rPr lang="en-US" sz="1100" b="0" i="1">
                        <a:latin typeface="Cambria Math" panose="02040503050406030204" pitchFamily="18" charset="0"/>
                      </a:rPr>
                      <m:t>𝐴𝑛𝑛𝑢𝑎𝑙𝑇h𝑒𝑟𝑚𝑠𝑆𝑎𝑣𝑒𝑑</m:t>
                    </m:r>
                    <m:r>
                      <a:rPr lang="en-US" sz="1100" b="0" i="1">
                        <a:latin typeface="Cambria Math" panose="02040503050406030204" pitchFamily="18" charset="0"/>
                      </a:rPr>
                      <m:t> =</m:t>
                    </m:r>
                    <m:r>
                      <a:rPr lang="en-US" sz="1100" b="0" i="1">
                        <a:latin typeface="Cambria Math" panose="02040503050406030204" pitchFamily="18" charset="0"/>
                        <a:ea typeface="Cambria Math" panose="02040503050406030204" pitchFamily="18" charset="0"/>
                      </a:rPr>
                      <m:t>𝐴𝑛𝑛𝑢𝑎𝑙𝐺</m:t>
                    </m:r>
                    <m:r>
                      <a:rPr lang="en-US" sz="1100" b="0" i="1">
                        <a:latin typeface="Cambria Math" panose="02040503050406030204" pitchFamily="18" charset="0"/>
                      </a:rPr>
                      <m:t>𝑎𝑙𝑙𝑜𝑛𝑠𝑆𝑎𝑣𝑒𝑑</m:t>
                    </m:r>
                    <m:r>
                      <a:rPr lang="en-US" sz="1100" b="0" i="1">
                        <a:latin typeface="Cambria Math" panose="02040503050406030204" pitchFamily="18" charset="0"/>
                      </a:rPr>
                      <m:t>  × </m:t>
                    </m:r>
                    <m:f>
                      <m:fPr>
                        <m:ctrlPr>
                          <a:rPr lang="en-US" sz="1100" b="0" i="1">
                            <a:latin typeface="Cambria Math" panose="02040503050406030204" pitchFamily="18" charset="0"/>
                            <a:ea typeface="Cambria Math" panose="02040503050406030204" pitchFamily="18" charset="0"/>
                          </a:rPr>
                        </m:ctrlPr>
                      </m:fPr>
                      <m:num>
                        <m:r>
                          <a:rPr lang="en-US" sz="1100" b="0" i="1">
                            <a:solidFill>
                              <a:schemeClr val="tx1"/>
                            </a:solidFill>
                            <a:effectLst/>
                            <a:latin typeface="Cambria Math" panose="02040503050406030204" pitchFamily="18" charset="0"/>
                            <a:ea typeface="+mn-ea"/>
                            <a:cs typeface="+mn-cs"/>
                          </a:rPr>
                          <m:t>8.33</m:t>
                        </m:r>
                      </m:num>
                      <m:den>
                        <m:r>
                          <a:rPr lang="en-US" sz="1100" b="0" i="1">
                            <a:latin typeface="Cambria Math" panose="02040503050406030204" pitchFamily="18" charset="0"/>
                            <a:ea typeface="Cambria Math" panose="02040503050406030204" pitchFamily="18" charset="0"/>
                          </a:rPr>
                          <m:t>100,000 </m:t>
                        </m:r>
                      </m:den>
                    </m:f>
                    <m:r>
                      <a:rPr lang="en-US" sz="1100" b="0" i="1">
                        <a:latin typeface="Cambria Math" panose="02040503050406030204" pitchFamily="18" charset="0"/>
                        <a:ea typeface="Cambria Math" panose="02040503050406030204" pitchFamily="18" charset="0"/>
                      </a:rPr>
                      <m:t> × </m:t>
                    </m:r>
                    <m:d>
                      <m:dPr>
                        <m:ctrlPr>
                          <a:rPr lang="en-US" sz="1100" b="0" i="1">
                            <a:latin typeface="Cambria Math" panose="02040503050406030204" pitchFamily="18" charset="0"/>
                            <a:ea typeface="Cambria Math" panose="02040503050406030204" pitchFamily="18" charset="0"/>
                          </a:rPr>
                        </m:ctrlPr>
                      </m:dPr>
                      <m:e>
                        <m:f>
                          <m:fPr>
                            <m:ctrlPr>
                              <a:rPr lang="en-US" sz="1100" b="0" i="1">
                                <a:latin typeface="Cambria Math" panose="02040503050406030204" pitchFamily="18" charset="0"/>
                                <a:ea typeface="Cambria Math" panose="02040503050406030204" pitchFamily="18" charset="0"/>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panose="02040503050406030204" pitchFamily="18" charset="0"/>
                                    <a:ea typeface="+mn-ea"/>
                                    <a:cs typeface="+mn-cs"/>
                                  </a:rPr>
                                  <m:t>105 −</m:t>
                                </m:r>
                                <m:r>
                                  <a:rPr lang="en-US" sz="1100" b="0" i="1">
                                    <a:solidFill>
                                      <a:schemeClr val="tx1"/>
                                    </a:solidFill>
                                    <a:effectLst/>
                                    <a:latin typeface="Cambria Math" panose="02040503050406030204" pitchFamily="18" charset="0"/>
                                    <a:ea typeface="+mn-ea"/>
                                    <a:cs typeface="+mn-cs"/>
                                  </a:rPr>
                                  <m:t>𝐶𝑙𝑖𝑚𝑎𝑡𝑒</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𝑍𝑜𝑛𝑒</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𝐺𝑟𝑜𝑢𝑛𝑑</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𝑊𝑎𝑡𝑒𝑟</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𝑇𝑒𝑚𝑝</m:t>
                                </m:r>
                              </m:e>
                            </m:d>
                          </m:num>
                          <m:den>
                            <m:r>
                              <a:rPr lang="en-US" sz="1100" b="0" i="1">
                                <a:latin typeface="Cambria Math" panose="02040503050406030204" pitchFamily="18" charset="0"/>
                                <a:ea typeface="Cambria Math" panose="02040503050406030204" pitchFamily="18" charset="0"/>
                              </a:rPr>
                              <m:t>𝐵𝑜𝑖𝑙𝑒𝑟</m:t>
                            </m:r>
                            <m:r>
                              <a:rPr lang="en-US" sz="1100" b="0" i="1">
                                <a:latin typeface="Cambria Math" panose="02040503050406030204" pitchFamily="18" charset="0"/>
                                <a:ea typeface="Cambria Math" panose="02040503050406030204" pitchFamily="18" charset="0"/>
                              </a:rPr>
                              <m:t> </m:t>
                            </m:r>
                            <m:r>
                              <a:rPr lang="en-US" sz="1100" b="0" i="1">
                                <a:latin typeface="Cambria Math" panose="02040503050406030204" pitchFamily="18" charset="0"/>
                                <a:ea typeface="Cambria Math" panose="02040503050406030204" pitchFamily="18" charset="0"/>
                              </a:rPr>
                              <m:t>𝐸𝑓𝑓𝑖𝑐𝑖𝑒𝑛𝑐𝑦</m:t>
                            </m:r>
                          </m:den>
                        </m:f>
                      </m:e>
                    </m:d>
                  </m:oMath>
                </m:oMathPara>
              </a14:m>
              <a:endParaRPr lang="en-US" sz="1100"/>
            </a:p>
          </xdr:txBody>
        </xdr:sp>
      </mc:Choice>
      <mc:Fallback xmlns="">
        <xdr:sp macro="" textlink="">
          <xdr:nvSpPr>
            <xdr:cNvPr id="5" name="TextBox 4">
              <a:extLst>
                <a:ext uri="{FF2B5EF4-FFF2-40B4-BE49-F238E27FC236}">
                  <a16:creationId xmlns:a16="http://schemas.microsoft.com/office/drawing/2014/main" id="{31CC522C-AFF5-4980-B784-89D296509AF9}"/>
                </a:ext>
              </a:extLst>
            </xdr:cNvPr>
            <xdr:cNvSpPr txBox="1"/>
          </xdr:nvSpPr>
          <xdr:spPr>
            <a:xfrm>
              <a:off x="5629275" y="6603207"/>
              <a:ext cx="6920677" cy="38036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lgn="l"/>
              <a:r>
                <a:rPr lang="en-US" sz="1100" b="0" i="0">
                  <a:latin typeface="Cambria Math" panose="02040503050406030204" pitchFamily="18" charset="0"/>
                </a:rPr>
                <a:t>𝐴𝑛𝑛𝑢𝑎𝑙𝑇ℎ𝑒𝑟𝑚𝑠𝑆𝑎𝑣𝑒𝑑 =</a:t>
              </a:r>
              <a:r>
                <a:rPr lang="en-US" sz="1100" b="0" i="0">
                  <a:latin typeface="Cambria Math" panose="02040503050406030204" pitchFamily="18" charset="0"/>
                  <a:ea typeface="Cambria Math" panose="02040503050406030204" pitchFamily="18" charset="0"/>
                </a:rPr>
                <a:t>𝐴𝑛𝑛𝑢𝑎𝑙𝐺</a:t>
              </a:r>
              <a:r>
                <a:rPr lang="en-US" sz="1100" b="0" i="0">
                  <a:latin typeface="Cambria Math" panose="02040503050406030204" pitchFamily="18" charset="0"/>
                </a:rPr>
                <a:t>𝑎𝑙𝑙𝑜𝑛𝑠𝑆𝑎𝑣𝑒𝑑  × </a:t>
              </a:r>
              <a:r>
                <a:rPr lang="en-US" sz="1100" b="0" i="0">
                  <a:solidFill>
                    <a:schemeClr val="tx1"/>
                  </a:solidFill>
                  <a:effectLst/>
                  <a:latin typeface="Cambria Math" panose="02040503050406030204" pitchFamily="18" charset="0"/>
                  <a:ea typeface="+mn-ea"/>
                  <a:cs typeface="+mn-cs"/>
                </a:rPr>
                <a:t> 8.33</a:t>
              </a:r>
              <a:r>
                <a:rPr lang="en-US" sz="1100" b="0" i="0">
                  <a:solidFill>
                    <a:schemeClr val="tx1"/>
                  </a:solidFill>
                  <a:effectLst/>
                  <a:latin typeface="Cambria Math" panose="02040503050406030204" pitchFamily="18" charset="0"/>
                  <a:ea typeface="Cambria Math" panose="02040503050406030204" pitchFamily="18" charset="0"/>
                  <a:cs typeface="+mn-cs"/>
                </a:rPr>
                <a:t>/(</a:t>
              </a:r>
              <a:r>
                <a:rPr lang="en-US" sz="1100" b="0" i="0">
                  <a:latin typeface="Cambria Math" panose="02040503050406030204" pitchFamily="18" charset="0"/>
                  <a:ea typeface="Cambria Math" panose="02040503050406030204" pitchFamily="18" charset="0"/>
                </a:rPr>
                <a:t>100,000 )  × ((</a:t>
              </a:r>
              <a:r>
                <a:rPr lang="en-US" sz="1100" b="0" i="0">
                  <a:solidFill>
                    <a:schemeClr val="tx1"/>
                  </a:solidFill>
                  <a:effectLst/>
                  <a:latin typeface="Cambria Math" panose="02040503050406030204" pitchFamily="18" charset="0"/>
                  <a:ea typeface="+mn-ea"/>
                  <a:cs typeface="+mn-cs"/>
                </a:rPr>
                <a:t>(105 −𝐶𝑙𝑖𝑚𝑎𝑡𝑒 𝑍𝑜𝑛𝑒 𝐺𝑟𝑜𝑢𝑛𝑑 𝑊𝑎𝑡𝑒𝑟 𝑇𝑒𝑚𝑝)</a:t>
              </a:r>
              <a:r>
                <a:rPr lang="en-US" sz="1100" b="0" i="0">
                  <a:solidFill>
                    <a:schemeClr val="tx1"/>
                  </a:solidFill>
                  <a:effectLst/>
                  <a:latin typeface="Cambria Math" panose="02040503050406030204" pitchFamily="18" charset="0"/>
                  <a:ea typeface="Cambria Math" panose="02040503050406030204" pitchFamily="18" charset="0"/>
                  <a:cs typeface="+mn-cs"/>
                </a:rPr>
                <a:t>)/(</a:t>
              </a:r>
              <a:r>
                <a:rPr lang="en-US" sz="1100" b="0" i="0">
                  <a:latin typeface="Cambria Math" panose="02040503050406030204" pitchFamily="18" charset="0"/>
                  <a:ea typeface="Cambria Math" panose="02040503050406030204" pitchFamily="18" charset="0"/>
                </a:rPr>
                <a:t>𝐵𝑜𝑖𝑙𝑒𝑟 𝐸𝑓𝑓𝑖𝑐𝑖𝑒𝑛𝑐𝑦))</a:t>
              </a:r>
              <a:endParaRPr lang="en-US" sz="1100"/>
            </a:p>
          </xdr:txBody>
        </xdr:sp>
      </mc:Fallback>
    </mc:AlternateContent>
    <xdr:clientData/>
  </xdr:oneCellAnchor>
  <xdr:oneCellAnchor>
    <xdr:from>
      <xdr:col>8</xdr:col>
      <xdr:colOff>19050</xdr:colOff>
      <xdr:row>24</xdr:row>
      <xdr:rowOff>166688</xdr:rowOff>
    </xdr:from>
    <xdr:ext cx="6553782" cy="380361"/>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5629275" y="7072313"/>
              <a:ext cx="6553782" cy="38036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lgn="l"/>
              <a14:m>
                <m:oMathPara xmlns:m="http://schemas.openxmlformats.org/officeDocument/2006/math">
                  <m:oMathParaPr>
                    <m:jc m:val="left"/>
                  </m:oMathParaPr>
                  <m:oMath xmlns:m="http://schemas.openxmlformats.org/officeDocument/2006/math">
                    <m:r>
                      <a:rPr lang="en-US" sz="1100" b="0" i="1">
                        <a:latin typeface="Cambria Math" panose="02040503050406030204" pitchFamily="18" charset="0"/>
                      </a:rPr>
                      <m:t>𝐴𝑛𝑛𝑢𝑎𝑙𝑇h𝑒𝑟𝑚𝑠𝑆𝑎𝑣𝑒𝑑</m:t>
                    </m:r>
                    <m:r>
                      <a:rPr lang="en-US" sz="1100" b="0" i="1">
                        <a:latin typeface="Cambria Math" panose="02040503050406030204" pitchFamily="18" charset="0"/>
                      </a:rPr>
                      <m:t> =</m:t>
                    </m:r>
                    <m:r>
                      <a:rPr lang="en-US" sz="1100" b="0" i="1">
                        <a:latin typeface="Cambria Math" panose="02040503050406030204" pitchFamily="18" charset="0"/>
                        <a:ea typeface="Cambria Math" panose="02040503050406030204" pitchFamily="18" charset="0"/>
                      </a:rPr>
                      <m:t>𝐴𝑛𝑛𝑢𝑎𝑙𝑘</m:t>
                    </m:r>
                    <m:r>
                      <a:rPr lang="en-US" sz="1100" b="0" i="1">
                        <a:latin typeface="Cambria Math" panose="02040503050406030204" pitchFamily="18" charset="0"/>
                      </a:rPr>
                      <m:t>𝑔𝑎𝑙𝑆𝑎𝑣𝑒𝑑</m:t>
                    </m:r>
                    <m:r>
                      <a:rPr lang="en-US" sz="1100" b="0" i="1">
                        <a:latin typeface="Cambria Math" panose="02040503050406030204" pitchFamily="18" charset="0"/>
                      </a:rPr>
                      <m:t>  × </m:t>
                    </m:r>
                    <m:f>
                      <m:fPr>
                        <m:ctrlPr>
                          <a:rPr lang="en-US" sz="1100" b="0" i="1">
                            <a:latin typeface="Cambria Math" panose="02040503050406030204" pitchFamily="18" charset="0"/>
                            <a:ea typeface="Cambria Math" panose="02040503050406030204" pitchFamily="18" charset="0"/>
                          </a:rPr>
                        </m:ctrlPr>
                      </m:fPr>
                      <m:num>
                        <m:r>
                          <a:rPr lang="en-US" sz="1100" b="0" i="1">
                            <a:solidFill>
                              <a:schemeClr val="tx1"/>
                            </a:solidFill>
                            <a:effectLst/>
                            <a:latin typeface="Cambria Math" panose="02040503050406030204" pitchFamily="18" charset="0"/>
                            <a:ea typeface="+mn-ea"/>
                            <a:cs typeface="+mn-cs"/>
                          </a:rPr>
                          <m:t>8.33</m:t>
                        </m:r>
                      </m:num>
                      <m:den>
                        <m:r>
                          <a:rPr lang="en-US" sz="1100" b="0" i="1">
                            <a:latin typeface="Cambria Math" panose="02040503050406030204" pitchFamily="18" charset="0"/>
                            <a:ea typeface="Cambria Math" panose="02040503050406030204" pitchFamily="18" charset="0"/>
                          </a:rPr>
                          <m:t>100 </m:t>
                        </m:r>
                      </m:den>
                    </m:f>
                    <m:r>
                      <a:rPr lang="en-US" sz="1100" b="0" i="1">
                        <a:latin typeface="Cambria Math" panose="02040503050406030204" pitchFamily="18" charset="0"/>
                        <a:ea typeface="Cambria Math" panose="02040503050406030204" pitchFamily="18" charset="0"/>
                      </a:rPr>
                      <m:t> × </m:t>
                    </m:r>
                    <m:d>
                      <m:dPr>
                        <m:ctrlPr>
                          <a:rPr lang="en-US" sz="1100" b="0" i="1">
                            <a:latin typeface="Cambria Math" panose="02040503050406030204" pitchFamily="18" charset="0"/>
                            <a:ea typeface="Cambria Math" panose="02040503050406030204" pitchFamily="18" charset="0"/>
                          </a:rPr>
                        </m:ctrlPr>
                      </m:dPr>
                      <m:e>
                        <m:f>
                          <m:fPr>
                            <m:ctrlPr>
                              <a:rPr lang="en-US" sz="1100" b="0" i="1">
                                <a:latin typeface="Cambria Math" panose="02040503050406030204" pitchFamily="18" charset="0"/>
                                <a:ea typeface="Cambria Math" panose="02040503050406030204" pitchFamily="18" charset="0"/>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panose="02040503050406030204" pitchFamily="18" charset="0"/>
                                    <a:ea typeface="+mn-ea"/>
                                    <a:cs typeface="+mn-cs"/>
                                  </a:rPr>
                                  <m:t>105 −</m:t>
                                </m:r>
                                <m:r>
                                  <a:rPr lang="en-US" sz="1100" b="0" i="1">
                                    <a:solidFill>
                                      <a:schemeClr val="tx1"/>
                                    </a:solidFill>
                                    <a:effectLst/>
                                    <a:latin typeface="Cambria Math" panose="02040503050406030204" pitchFamily="18" charset="0"/>
                                    <a:ea typeface="+mn-ea"/>
                                    <a:cs typeface="+mn-cs"/>
                                  </a:rPr>
                                  <m:t>𝐶𝑙𝑖𝑚𝑎𝑡𝑒</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𝑍𝑜𝑛𝑒</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𝐺𝑟𝑜𝑢𝑛𝑑</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𝑊𝑎𝑡𝑒𝑟</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𝑇𝑒𝑚𝑝</m:t>
                                </m:r>
                              </m:e>
                            </m:d>
                          </m:num>
                          <m:den>
                            <m:r>
                              <a:rPr lang="en-US" sz="1100" b="0" i="1">
                                <a:latin typeface="Cambria Math" panose="02040503050406030204" pitchFamily="18" charset="0"/>
                                <a:ea typeface="Cambria Math" panose="02040503050406030204" pitchFamily="18" charset="0"/>
                              </a:rPr>
                              <m:t>𝐵𝑜𝑖𝑙𝑒𝑟</m:t>
                            </m:r>
                            <m:r>
                              <a:rPr lang="en-US" sz="1100" b="0" i="1">
                                <a:latin typeface="Cambria Math" panose="02040503050406030204" pitchFamily="18" charset="0"/>
                                <a:ea typeface="Cambria Math" panose="02040503050406030204" pitchFamily="18" charset="0"/>
                              </a:rPr>
                              <m:t> </m:t>
                            </m:r>
                            <m:r>
                              <a:rPr lang="en-US" sz="1100" b="0" i="1">
                                <a:latin typeface="Cambria Math" panose="02040503050406030204" pitchFamily="18" charset="0"/>
                                <a:ea typeface="Cambria Math" panose="02040503050406030204" pitchFamily="18" charset="0"/>
                              </a:rPr>
                              <m:t>𝐸𝑓𝑓𝑖𝑐𝑖𝑒𝑛𝑐𝑦</m:t>
                            </m:r>
                          </m:den>
                        </m:f>
                      </m:e>
                    </m:d>
                  </m:oMath>
                </m:oMathPara>
              </a14:m>
              <a:endParaRPr lang="en-US" sz="1100"/>
            </a:p>
          </xdr:txBody>
        </xdr:sp>
      </mc:Choice>
      <mc:Fallback xmlns="">
        <xdr:sp macro="" textlink="">
          <xdr:nvSpPr>
            <xdr:cNvPr id="6" name="TextBox 5">
              <a:extLst>
                <a:ext uri="{FF2B5EF4-FFF2-40B4-BE49-F238E27FC236}">
                  <a16:creationId xmlns:a16="http://schemas.microsoft.com/office/drawing/2014/main" id="{95D33F8A-9468-4D96-A352-93DBD0990E01}"/>
                </a:ext>
              </a:extLst>
            </xdr:cNvPr>
            <xdr:cNvSpPr txBox="1"/>
          </xdr:nvSpPr>
          <xdr:spPr>
            <a:xfrm>
              <a:off x="5629275" y="7072313"/>
              <a:ext cx="6553782" cy="38036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lgn="l"/>
              <a:r>
                <a:rPr lang="en-US" sz="1100" b="0" i="0">
                  <a:latin typeface="Cambria Math" panose="02040503050406030204" pitchFamily="18" charset="0"/>
                </a:rPr>
                <a:t>𝐴𝑛𝑛𝑢𝑎𝑙𝑇ℎ𝑒𝑟𝑚𝑠𝑆𝑎𝑣𝑒𝑑 =</a:t>
              </a:r>
              <a:r>
                <a:rPr lang="en-US" sz="1100" b="0" i="0">
                  <a:latin typeface="Cambria Math" panose="02040503050406030204" pitchFamily="18" charset="0"/>
                  <a:ea typeface="Cambria Math" panose="02040503050406030204" pitchFamily="18" charset="0"/>
                </a:rPr>
                <a:t>𝐴𝑛𝑛𝑢𝑎𝑙𝑘</a:t>
              </a:r>
              <a:r>
                <a:rPr lang="en-US" sz="1100" b="0" i="0">
                  <a:latin typeface="Cambria Math" panose="02040503050406030204" pitchFamily="18" charset="0"/>
                </a:rPr>
                <a:t>𝑔𝑎𝑙𝑆𝑎𝑣𝑒𝑑  × </a:t>
              </a:r>
              <a:r>
                <a:rPr lang="en-US" sz="1100" b="0" i="0">
                  <a:solidFill>
                    <a:schemeClr val="tx1"/>
                  </a:solidFill>
                  <a:effectLst/>
                  <a:latin typeface="Cambria Math" panose="02040503050406030204" pitchFamily="18" charset="0"/>
                  <a:ea typeface="+mn-ea"/>
                  <a:cs typeface="+mn-cs"/>
                </a:rPr>
                <a:t> 8.33</a:t>
              </a:r>
              <a:r>
                <a:rPr lang="en-US" sz="1100" b="0" i="0">
                  <a:solidFill>
                    <a:schemeClr val="tx1"/>
                  </a:solidFill>
                  <a:effectLst/>
                  <a:latin typeface="Cambria Math" panose="02040503050406030204" pitchFamily="18" charset="0"/>
                  <a:ea typeface="Cambria Math" panose="02040503050406030204" pitchFamily="18" charset="0"/>
                  <a:cs typeface="+mn-cs"/>
                </a:rPr>
                <a:t>/(</a:t>
              </a:r>
              <a:r>
                <a:rPr lang="en-US" sz="1100" b="0" i="0">
                  <a:latin typeface="Cambria Math" panose="02040503050406030204" pitchFamily="18" charset="0"/>
                  <a:ea typeface="Cambria Math" panose="02040503050406030204" pitchFamily="18" charset="0"/>
                </a:rPr>
                <a:t>100 )  × ((</a:t>
              </a:r>
              <a:r>
                <a:rPr lang="en-US" sz="1100" b="0" i="0">
                  <a:solidFill>
                    <a:schemeClr val="tx1"/>
                  </a:solidFill>
                  <a:effectLst/>
                  <a:latin typeface="Cambria Math" panose="02040503050406030204" pitchFamily="18" charset="0"/>
                  <a:ea typeface="+mn-ea"/>
                  <a:cs typeface="+mn-cs"/>
                </a:rPr>
                <a:t>(105 −𝐶𝑙𝑖𝑚𝑎𝑡𝑒 𝑍𝑜𝑛𝑒 𝐺𝑟𝑜𝑢𝑛𝑑 𝑊𝑎𝑡𝑒𝑟 𝑇𝑒𝑚𝑝)</a:t>
              </a:r>
              <a:r>
                <a:rPr lang="en-US" sz="1100" b="0" i="0">
                  <a:solidFill>
                    <a:schemeClr val="tx1"/>
                  </a:solidFill>
                  <a:effectLst/>
                  <a:latin typeface="Cambria Math" panose="02040503050406030204" pitchFamily="18" charset="0"/>
                  <a:ea typeface="Cambria Math" panose="02040503050406030204" pitchFamily="18" charset="0"/>
                  <a:cs typeface="+mn-cs"/>
                </a:rPr>
                <a:t>)/(</a:t>
              </a:r>
              <a:r>
                <a:rPr lang="en-US" sz="1100" b="0" i="0">
                  <a:latin typeface="Cambria Math" panose="02040503050406030204" pitchFamily="18" charset="0"/>
                  <a:ea typeface="Cambria Math" panose="02040503050406030204" pitchFamily="18" charset="0"/>
                </a:rPr>
                <a:t>𝐵𝑜𝑖𝑙𝑒𝑟 𝐸𝑓𝑓𝑖𝑐𝑖𝑒𝑛𝑐𝑦))</a:t>
              </a:r>
              <a:endParaRPr lang="en-US" sz="1100"/>
            </a:p>
          </xdr:txBody>
        </xdr:sp>
      </mc:Fallback>
    </mc:AlternateContent>
    <xdr:clientData/>
  </xdr:oneCellAnchor>
  <xdr:oneCellAnchor>
    <xdr:from>
      <xdr:col>12</xdr:col>
      <xdr:colOff>571500</xdr:colOff>
      <xdr:row>13</xdr:row>
      <xdr:rowOff>4763</xdr:rowOff>
    </xdr:from>
    <xdr:ext cx="3773084" cy="172227"/>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8743950" y="4814888"/>
              <a:ext cx="3773084" cy="17222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lgn="l"/>
              <a14:m>
                <m:oMathPara xmlns:m="http://schemas.openxmlformats.org/officeDocument/2006/math">
                  <m:oMathParaPr>
                    <m:jc m:val="left"/>
                  </m:oMathParaPr>
                  <m:oMath xmlns:m="http://schemas.openxmlformats.org/officeDocument/2006/math">
                    <m:r>
                      <a:rPr lang="en-US" sz="1100" b="0" i="1">
                        <a:latin typeface="Cambria Math" panose="02040503050406030204" pitchFamily="18" charset="0"/>
                      </a:rPr>
                      <m:t>𝐴𝑛𝑛𝑢𝑎𝑙𝑇h𝑒𝑟𝑚𝑠𝑆𝑎𝑣𝑒𝑑</m:t>
                    </m:r>
                    <m:r>
                      <a:rPr lang="en-US" sz="1100" b="0" i="1">
                        <a:latin typeface="Cambria Math" panose="02040503050406030204" pitchFamily="18" charset="0"/>
                      </a:rPr>
                      <m:t> =</m:t>
                    </m:r>
                    <m:r>
                      <a:rPr lang="en-US" sz="1100" b="0" i="1">
                        <a:latin typeface="Cambria Math" panose="02040503050406030204" pitchFamily="18" charset="0"/>
                        <a:ea typeface="Cambria Math" panose="02040503050406030204" pitchFamily="18" charset="0"/>
                      </a:rPr>
                      <m:t>𝐴𝑛𝑛𝑢𝑎𝑙𝑘</m:t>
                    </m:r>
                    <m:r>
                      <a:rPr lang="en-US" sz="1100" b="0" i="1">
                        <a:latin typeface="Cambria Math" panose="02040503050406030204" pitchFamily="18" charset="0"/>
                      </a:rPr>
                      <m:t>𝑔𝑎𝑙𝑆𝑎𝑣𝑒𝑑</m:t>
                    </m:r>
                    <m:r>
                      <a:rPr lang="en-US" sz="1100" b="0" i="1">
                        <a:latin typeface="Cambria Math" panose="02040503050406030204" pitchFamily="18" charset="0"/>
                      </a:rPr>
                      <m:t>  × </m:t>
                    </m:r>
                    <m:r>
                      <a:rPr lang="en-US" sz="1100" b="0" i="1">
                        <a:latin typeface="Cambria Math" panose="02040503050406030204" pitchFamily="18" charset="0"/>
                      </a:rPr>
                      <m:t>𝑇h𝑒𝑟𝑚𝐹𝑎𝑐𝑡𝑜𝑟</m:t>
                    </m:r>
                  </m:oMath>
                </m:oMathPara>
              </a14:m>
              <a:endParaRPr lang="en-US" sz="1100"/>
            </a:p>
          </xdr:txBody>
        </xdr:sp>
      </mc:Choice>
      <mc:Fallback xmlns="">
        <xdr:sp macro="" textlink="">
          <xdr:nvSpPr>
            <xdr:cNvPr id="7" name="TextBox 6">
              <a:extLst>
                <a:ext uri="{FF2B5EF4-FFF2-40B4-BE49-F238E27FC236}">
                  <a16:creationId xmlns:a16="http://schemas.microsoft.com/office/drawing/2014/main" id="{2BA13434-CD31-4387-8576-6FC6F6DE781D}"/>
                </a:ext>
              </a:extLst>
            </xdr:cNvPr>
            <xdr:cNvSpPr txBox="1"/>
          </xdr:nvSpPr>
          <xdr:spPr>
            <a:xfrm>
              <a:off x="8743950" y="4814888"/>
              <a:ext cx="3773084" cy="17222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lgn="l"/>
              <a:r>
                <a:rPr lang="en-US" sz="1100" b="0" i="0">
                  <a:latin typeface="Cambria Math" panose="02040503050406030204" pitchFamily="18" charset="0"/>
                </a:rPr>
                <a:t>𝐴𝑛𝑛𝑢𝑎𝑙𝑇ℎ𝑒𝑟𝑚𝑠𝑆𝑎𝑣𝑒𝑑 =</a:t>
              </a:r>
              <a:r>
                <a:rPr lang="en-US" sz="1100" b="0" i="0">
                  <a:latin typeface="Cambria Math" panose="02040503050406030204" pitchFamily="18" charset="0"/>
                  <a:ea typeface="Cambria Math" panose="02040503050406030204" pitchFamily="18" charset="0"/>
                </a:rPr>
                <a:t>𝐴𝑛𝑛𝑢𝑎𝑙𝑘</a:t>
              </a:r>
              <a:r>
                <a:rPr lang="en-US" sz="1100" b="0" i="0">
                  <a:latin typeface="Cambria Math" panose="02040503050406030204" pitchFamily="18" charset="0"/>
                </a:rPr>
                <a:t>𝑔𝑎𝑙𝑆𝑎𝑣𝑒𝑑  × 𝑇ℎ𝑒𝑟𝑚𝐹𝑎𝑐𝑡𝑜𝑟</a:t>
              </a:r>
              <a:endParaRPr lang="en-US" sz="1100"/>
            </a:p>
          </xdr:txBody>
        </xdr:sp>
      </mc:Fallback>
    </mc:AlternateContent>
    <xdr:clientData/>
  </xdr:oneCellAnchor>
  <xdr:oneCellAnchor>
    <xdr:from>
      <xdr:col>8</xdr:col>
      <xdr:colOff>19050</xdr:colOff>
      <xdr:row>27</xdr:row>
      <xdr:rowOff>52388</xdr:rowOff>
    </xdr:from>
    <xdr:ext cx="6452536" cy="172227"/>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5629275" y="7529513"/>
              <a:ext cx="6452536" cy="17222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lgn="l"/>
              <a14:m>
                <m:oMathPara xmlns:m="http://schemas.openxmlformats.org/officeDocument/2006/math">
                  <m:oMathParaPr>
                    <m:jc m:val="left"/>
                  </m:oMathParaPr>
                  <m:oMath xmlns:m="http://schemas.openxmlformats.org/officeDocument/2006/math">
                    <m:r>
                      <a:rPr lang="en-US" sz="1100" b="0" i="1">
                        <a:latin typeface="Cambria Math" panose="02040503050406030204" pitchFamily="18" charset="0"/>
                      </a:rPr>
                      <m:t>𝐴𝑛𝑛𝑢𝑎𝑙𝑇h𝑒𝑟𝑚𝑠𝑆𝑎𝑣𝑒𝑑</m:t>
                    </m:r>
                    <m:r>
                      <a:rPr lang="en-US" sz="1100" b="0" i="1">
                        <a:latin typeface="Cambria Math" panose="02040503050406030204" pitchFamily="18" charset="0"/>
                      </a:rPr>
                      <m:t> =</m:t>
                    </m:r>
                    <m:r>
                      <a:rPr lang="en-US" sz="1100" b="0" i="1">
                        <a:latin typeface="Cambria Math" panose="02040503050406030204" pitchFamily="18" charset="0"/>
                        <a:ea typeface="Cambria Math" panose="02040503050406030204" pitchFamily="18" charset="0"/>
                      </a:rPr>
                      <m:t>𝐴𝑛𝑛𝑢𝑎𝑙𝑘</m:t>
                    </m:r>
                    <m:r>
                      <a:rPr lang="en-US" sz="1100" b="0" i="1">
                        <a:latin typeface="Cambria Math" panose="02040503050406030204" pitchFamily="18" charset="0"/>
                      </a:rPr>
                      <m:t>𝑔𝑎𝑙𝑆𝑎𝑣𝑒𝑑</m:t>
                    </m:r>
                    <m:r>
                      <a:rPr lang="en-US" sz="1100" b="0" i="1">
                        <a:latin typeface="Cambria Math" panose="02040503050406030204" pitchFamily="18" charset="0"/>
                      </a:rPr>
                      <m:t>  ×0.111067 × </m:t>
                    </m:r>
                    <m:d>
                      <m:dPr>
                        <m:ctrlPr>
                          <a:rPr lang="en-US" sz="1100" b="0" i="1">
                            <a:latin typeface="Cambria Math" panose="02040503050406030204" pitchFamily="18" charset="0"/>
                            <a:ea typeface="Cambria Math" panose="02040503050406030204" pitchFamily="18" charset="0"/>
                          </a:rPr>
                        </m:ctrlPr>
                      </m:dPr>
                      <m:e>
                        <m:r>
                          <a:rPr lang="en-US" sz="1100" b="0" i="1">
                            <a:solidFill>
                              <a:schemeClr val="tx1"/>
                            </a:solidFill>
                            <a:effectLst/>
                            <a:latin typeface="Cambria Math" panose="02040503050406030204" pitchFamily="18" charset="0"/>
                            <a:ea typeface="+mn-ea"/>
                            <a:cs typeface="+mn-cs"/>
                          </a:rPr>
                          <m:t>105 −</m:t>
                        </m:r>
                        <m:r>
                          <a:rPr lang="en-US" sz="1100" b="0" i="1">
                            <a:solidFill>
                              <a:schemeClr val="tx1"/>
                            </a:solidFill>
                            <a:effectLst/>
                            <a:latin typeface="Cambria Math" panose="02040503050406030204" pitchFamily="18" charset="0"/>
                            <a:ea typeface="+mn-ea"/>
                            <a:cs typeface="+mn-cs"/>
                          </a:rPr>
                          <m:t>𝐶𝑙𝑖𝑚𝑎𝑡𝑒</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𝑍𝑜𝑛𝑒</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𝐺𝑟𝑜𝑢𝑛𝑑</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𝑊𝑎𝑡𝑒𝑟</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𝑇𝑒𝑚𝑝</m:t>
                        </m:r>
                      </m:e>
                    </m:d>
                  </m:oMath>
                </m:oMathPara>
              </a14:m>
              <a:endParaRPr lang="en-US" sz="1100"/>
            </a:p>
          </xdr:txBody>
        </xdr:sp>
      </mc:Choice>
      <mc:Fallback xmlns="">
        <xdr:sp macro="" textlink="">
          <xdr:nvSpPr>
            <xdr:cNvPr id="8" name="TextBox 7">
              <a:extLst>
                <a:ext uri="{FF2B5EF4-FFF2-40B4-BE49-F238E27FC236}">
                  <a16:creationId xmlns:a16="http://schemas.microsoft.com/office/drawing/2014/main" id="{E2DE21F3-F0EF-4247-9C74-FEE05DC531BA}"/>
                </a:ext>
              </a:extLst>
            </xdr:cNvPr>
            <xdr:cNvSpPr txBox="1"/>
          </xdr:nvSpPr>
          <xdr:spPr>
            <a:xfrm>
              <a:off x="5629275" y="7529513"/>
              <a:ext cx="6452536" cy="17222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lgn="l"/>
              <a:r>
                <a:rPr lang="en-US" sz="1100" b="0" i="0">
                  <a:latin typeface="Cambria Math" panose="02040503050406030204" pitchFamily="18" charset="0"/>
                </a:rPr>
                <a:t>𝐴𝑛𝑛𝑢𝑎𝑙𝑇ℎ𝑒𝑟𝑚𝑠𝑆𝑎𝑣𝑒𝑑 =</a:t>
              </a:r>
              <a:r>
                <a:rPr lang="en-US" sz="1100" b="0" i="0">
                  <a:latin typeface="Cambria Math" panose="02040503050406030204" pitchFamily="18" charset="0"/>
                  <a:ea typeface="Cambria Math" panose="02040503050406030204" pitchFamily="18" charset="0"/>
                </a:rPr>
                <a:t>𝐴𝑛𝑛𝑢𝑎𝑙𝑘</a:t>
              </a:r>
              <a:r>
                <a:rPr lang="en-US" sz="1100" b="0" i="0">
                  <a:latin typeface="Cambria Math" panose="02040503050406030204" pitchFamily="18" charset="0"/>
                </a:rPr>
                <a:t>𝑔𝑎𝑙𝑆𝑎𝑣𝑒𝑑  ×0.111067 × </a:t>
              </a:r>
              <a:r>
                <a:rPr lang="en-US" sz="1100" b="0" i="0">
                  <a:latin typeface="Cambria Math" panose="02040503050406030204" pitchFamily="18" charset="0"/>
                  <a:ea typeface="Cambria Math" panose="02040503050406030204" pitchFamily="18" charset="0"/>
                </a:rPr>
                <a:t>(</a:t>
              </a:r>
              <a:r>
                <a:rPr lang="en-US" sz="1100" b="0" i="0">
                  <a:solidFill>
                    <a:schemeClr val="tx1"/>
                  </a:solidFill>
                  <a:effectLst/>
                  <a:latin typeface="Cambria Math" panose="02040503050406030204" pitchFamily="18" charset="0"/>
                  <a:ea typeface="+mn-ea"/>
                  <a:cs typeface="+mn-cs"/>
                </a:rPr>
                <a:t>105 −𝐶𝑙𝑖𝑚𝑎𝑡𝑒 𝑍𝑜𝑛𝑒 𝐺𝑟𝑜𝑢𝑛𝑑 𝑊𝑎𝑡𝑒𝑟 𝑇𝑒𝑚𝑝)</a:t>
              </a:r>
              <a:endParaRPr lang="en-US" sz="1100"/>
            </a:p>
          </xdr:txBody>
        </xdr:sp>
      </mc:Fallback>
    </mc:AlternateContent>
    <xdr:clientData/>
  </xdr:oneCellAnchor>
  <xdr:oneCellAnchor>
    <xdr:from>
      <xdr:col>8</xdr:col>
      <xdr:colOff>542925</xdr:colOff>
      <xdr:row>14</xdr:row>
      <xdr:rowOff>14288</xdr:rowOff>
    </xdr:from>
    <xdr:ext cx="4755404" cy="172227"/>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17240250" y="3205163"/>
              <a:ext cx="4755404" cy="17222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lgn="l"/>
              <a14:m>
                <m:oMath xmlns:m="http://schemas.openxmlformats.org/officeDocument/2006/math">
                  <m:r>
                    <a:rPr lang="en-US" sz="1100" b="0" i="1">
                      <a:latin typeface="Cambria Math" panose="02040503050406030204" pitchFamily="18" charset="0"/>
                    </a:rPr>
                    <m:t>𝑇h𝑒𝑟𝑚𝐹𝑎𝑐𝑡𝑜𝑟</m:t>
                  </m:r>
                  <m:r>
                    <a:rPr lang="en-US" sz="1100" b="0" i="1">
                      <a:latin typeface="Cambria Math" panose="02040503050406030204" pitchFamily="18" charset="0"/>
                    </a:rPr>
                    <m:t>=  0.111067 × </m:t>
                  </m:r>
                  <m:d>
                    <m:dPr>
                      <m:ctrlPr>
                        <a:rPr lang="en-US" sz="1100" b="0" i="1">
                          <a:latin typeface="Cambria Math" panose="02040503050406030204" pitchFamily="18" charset="0"/>
                          <a:ea typeface="Cambria Math" panose="02040503050406030204" pitchFamily="18" charset="0"/>
                        </a:rPr>
                      </m:ctrlPr>
                    </m:dPr>
                    <m:e>
                      <m:r>
                        <a:rPr lang="en-US" sz="1100" b="0" i="1">
                          <a:solidFill>
                            <a:schemeClr val="tx1"/>
                          </a:solidFill>
                          <a:effectLst/>
                          <a:latin typeface="Cambria Math" panose="02040503050406030204" pitchFamily="18" charset="0"/>
                          <a:ea typeface="+mn-ea"/>
                          <a:cs typeface="+mn-cs"/>
                        </a:rPr>
                        <m:t>105 −</m:t>
                      </m:r>
                      <m:r>
                        <a:rPr lang="en-US" sz="1100" b="0" i="1">
                          <a:solidFill>
                            <a:schemeClr val="tx1"/>
                          </a:solidFill>
                          <a:effectLst/>
                          <a:latin typeface="Cambria Math" panose="02040503050406030204" pitchFamily="18" charset="0"/>
                          <a:ea typeface="+mn-ea"/>
                          <a:cs typeface="+mn-cs"/>
                        </a:rPr>
                        <m:t>𝐶𝑙𝑖𝑚𝑎𝑡𝑒</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𝑍𝑜𝑛𝑒</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𝐺𝑟𝑜𝑢𝑛𝑑</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𝑊𝑎𝑡𝑒𝑟</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𝑇𝑒𝑚𝑝</m:t>
                      </m:r>
                    </m:e>
                  </m:d>
                </m:oMath>
              </a14:m>
              <a:r>
                <a:rPr lang="en-US" sz="1100"/>
                <a:t> </a:t>
              </a:r>
            </a:p>
          </xdr:txBody>
        </xdr:sp>
      </mc:Choice>
      <mc:Fallback xmlns="">
        <xdr:sp macro="" textlink="">
          <xdr:nvSpPr>
            <xdr:cNvPr id="9" name="TextBox 8">
              <a:extLst>
                <a:ext uri="{FF2B5EF4-FFF2-40B4-BE49-F238E27FC236}">
                  <a16:creationId xmlns:a16="http://schemas.microsoft.com/office/drawing/2014/main" id="{7A8F44A0-57D8-4CDE-9167-8BDDDE15D782}"/>
                </a:ext>
              </a:extLst>
            </xdr:cNvPr>
            <xdr:cNvSpPr txBox="1"/>
          </xdr:nvSpPr>
          <xdr:spPr>
            <a:xfrm>
              <a:off x="17240250" y="3205163"/>
              <a:ext cx="4755404" cy="17222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lgn="l"/>
              <a:r>
                <a:rPr lang="en-US" sz="1100" b="0" i="0">
                  <a:latin typeface="Cambria Math" panose="02040503050406030204" pitchFamily="18" charset="0"/>
                </a:rPr>
                <a:t>𝑇ℎ𝑒𝑟𝑚𝐹𝑎𝑐𝑡𝑜𝑟=  0.111067 × </a:t>
              </a:r>
              <a:r>
                <a:rPr lang="en-US" sz="1100" b="0" i="0">
                  <a:latin typeface="Cambria Math" panose="02040503050406030204" pitchFamily="18" charset="0"/>
                  <a:ea typeface="Cambria Math" panose="02040503050406030204" pitchFamily="18" charset="0"/>
                </a:rPr>
                <a:t>(</a:t>
              </a:r>
              <a:r>
                <a:rPr lang="en-US" sz="1100" b="0" i="0">
                  <a:solidFill>
                    <a:schemeClr val="tx1"/>
                  </a:solidFill>
                  <a:effectLst/>
                  <a:latin typeface="Cambria Math" panose="02040503050406030204" pitchFamily="18" charset="0"/>
                  <a:ea typeface="+mn-ea"/>
                  <a:cs typeface="+mn-cs"/>
                </a:rPr>
                <a:t>105 −𝐶𝑙𝑖𝑚𝑎𝑡𝑒 𝑍𝑜𝑛𝑒 𝐺𝑟𝑜𝑢𝑛𝑑 𝑊𝑎𝑡𝑒𝑟 𝑇𝑒𝑚𝑝)</a:t>
              </a:r>
              <a:r>
                <a:rPr lang="en-US" sz="1100"/>
                <a:t> </a:t>
              </a: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oneCellAnchor>
    <xdr:from>
      <xdr:col>14</xdr:col>
      <xdr:colOff>0</xdr:colOff>
      <xdr:row>9</xdr:row>
      <xdr:rowOff>8659</xdr:rowOff>
    </xdr:from>
    <xdr:ext cx="4147704" cy="1174172"/>
    <xdr:pic>
      <xdr:nvPicPr>
        <xdr:cNvPr id="2" name="Dual/Half Flush Flows" hidden="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0" y="1723159"/>
          <a:ext cx="4147704" cy="117417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16</xdr:col>
      <xdr:colOff>466725</xdr:colOff>
      <xdr:row>15</xdr:row>
      <xdr:rowOff>0</xdr:rowOff>
    </xdr:from>
    <xdr:to>
      <xdr:col>17</xdr:col>
      <xdr:colOff>47625</xdr:colOff>
      <xdr:row>15</xdr:row>
      <xdr:rowOff>142875</xdr:rowOff>
    </xdr:to>
    <xdr:sp macro="" textlink="">
      <xdr:nvSpPr>
        <xdr:cNvPr id="3" name="Incentives.Rebate.SurveyCheckBox" hidden="1">
          <a:extLst>
            <a:ext uri="{63B3BB69-23CF-44E3-9099-C40C66FF867C}">
              <a14:compatExt xmlns:a14="http://schemas.microsoft.com/office/drawing/2010/main" spid="_x0000_s4116"/>
            </a:ext>
            <a:ext uri="{FF2B5EF4-FFF2-40B4-BE49-F238E27FC236}">
              <a16:creationId xmlns:a16="http://schemas.microsoft.com/office/drawing/2014/main" id="{00000000-0008-0000-0400-000003000000}"/>
            </a:ext>
          </a:extLst>
        </xdr:cNvPr>
        <xdr:cNvSpPr/>
      </xdr:nvSpPr>
      <xdr:spPr bwMode="auto">
        <a:xfrm>
          <a:off x="1419225" y="4505325"/>
          <a:ext cx="1905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16</xdr:col>
      <xdr:colOff>466725</xdr:colOff>
      <xdr:row>15</xdr:row>
      <xdr:rowOff>0</xdr:rowOff>
    </xdr:from>
    <xdr:to>
      <xdr:col>17</xdr:col>
      <xdr:colOff>47625</xdr:colOff>
      <xdr:row>15</xdr:row>
      <xdr:rowOff>142875</xdr:rowOff>
    </xdr:to>
    <xdr:sp macro="" textlink="">
      <xdr:nvSpPr>
        <xdr:cNvPr id="4" name="Incentives.Rebate.UrinalCheckBox.125gpf" hidden="1">
          <a:extLst>
            <a:ext uri="{63B3BB69-23CF-44E3-9099-C40C66FF867C}">
              <a14:compatExt xmlns:a14="http://schemas.microsoft.com/office/drawing/2010/main" spid="_x0000_s4151"/>
            </a:ext>
            <a:ext uri="{FF2B5EF4-FFF2-40B4-BE49-F238E27FC236}">
              <a16:creationId xmlns:a16="http://schemas.microsoft.com/office/drawing/2014/main" id="{00000000-0008-0000-0400-000004000000}"/>
            </a:ext>
          </a:extLst>
        </xdr:cNvPr>
        <xdr:cNvSpPr/>
      </xdr:nvSpPr>
      <xdr:spPr bwMode="auto">
        <a:xfrm>
          <a:off x="1419225" y="3771900"/>
          <a:ext cx="1905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16</xdr:col>
      <xdr:colOff>466725</xdr:colOff>
      <xdr:row>15</xdr:row>
      <xdr:rowOff>0</xdr:rowOff>
    </xdr:from>
    <xdr:to>
      <xdr:col>17</xdr:col>
      <xdr:colOff>47625</xdr:colOff>
      <xdr:row>15</xdr:row>
      <xdr:rowOff>142875</xdr:rowOff>
    </xdr:to>
    <xdr:sp macro="" textlink="">
      <xdr:nvSpPr>
        <xdr:cNvPr id="5" name="Incentives.Rebate.UrinalCheckBox.10gpf" hidden="1">
          <a:extLst>
            <a:ext uri="{63B3BB69-23CF-44E3-9099-C40C66FF867C}">
              <a14:compatExt xmlns:a14="http://schemas.microsoft.com/office/drawing/2010/main" spid="_x0000_s4117"/>
            </a:ext>
            <a:ext uri="{FF2B5EF4-FFF2-40B4-BE49-F238E27FC236}">
              <a16:creationId xmlns:a16="http://schemas.microsoft.com/office/drawing/2014/main" id="{00000000-0008-0000-0400-000005000000}"/>
            </a:ext>
          </a:extLst>
        </xdr:cNvPr>
        <xdr:cNvSpPr/>
      </xdr:nvSpPr>
      <xdr:spPr bwMode="auto">
        <a:xfrm>
          <a:off x="1419225" y="3581400"/>
          <a:ext cx="1905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16</xdr:col>
      <xdr:colOff>466725</xdr:colOff>
      <xdr:row>15</xdr:row>
      <xdr:rowOff>0</xdr:rowOff>
    </xdr:from>
    <xdr:to>
      <xdr:col>17</xdr:col>
      <xdr:colOff>47625</xdr:colOff>
      <xdr:row>15</xdr:row>
      <xdr:rowOff>142875</xdr:rowOff>
    </xdr:to>
    <xdr:sp macro="" textlink="">
      <xdr:nvSpPr>
        <xdr:cNvPr id="6" name="Incentives.Rebate.UrinalCheckBox.15gpf" hidden="1">
          <a:extLst>
            <a:ext uri="{63B3BB69-23CF-44E3-9099-C40C66FF867C}">
              <a14:compatExt xmlns:a14="http://schemas.microsoft.com/office/drawing/2010/main" spid="_x0000_s4118"/>
            </a:ext>
            <a:ext uri="{FF2B5EF4-FFF2-40B4-BE49-F238E27FC236}">
              <a16:creationId xmlns:a16="http://schemas.microsoft.com/office/drawing/2014/main" id="{00000000-0008-0000-0400-000006000000}"/>
            </a:ext>
          </a:extLst>
        </xdr:cNvPr>
        <xdr:cNvSpPr/>
      </xdr:nvSpPr>
      <xdr:spPr bwMode="auto">
        <a:xfrm>
          <a:off x="1419225" y="3390900"/>
          <a:ext cx="1905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16</xdr:col>
      <xdr:colOff>466725</xdr:colOff>
      <xdr:row>15</xdr:row>
      <xdr:rowOff>0</xdr:rowOff>
    </xdr:from>
    <xdr:to>
      <xdr:col>17</xdr:col>
      <xdr:colOff>47625</xdr:colOff>
      <xdr:row>15</xdr:row>
      <xdr:rowOff>142875</xdr:rowOff>
    </xdr:to>
    <xdr:sp macro="" textlink="">
      <xdr:nvSpPr>
        <xdr:cNvPr id="7" name="Incentives.Rebate.ToiletCheckBox.128gpf" hidden="1">
          <a:extLst>
            <a:ext uri="{63B3BB69-23CF-44E3-9099-C40C66FF867C}">
              <a14:compatExt xmlns:a14="http://schemas.microsoft.com/office/drawing/2010/main" spid="_x0000_s4149"/>
            </a:ext>
            <a:ext uri="{FF2B5EF4-FFF2-40B4-BE49-F238E27FC236}">
              <a16:creationId xmlns:a16="http://schemas.microsoft.com/office/drawing/2014/main" id="{00000000-0008-0000-0400-000007000000}"/>
            </a:ext>
          </a:extLst>
        </xdr:cNvPr>
        <xdr:cNvSpPr/>
      </xdr:nvSpPr>
      <xdr:spPr bwMode="auto">
        <a:xfrm>
          <a:off x="1419225" y="2905125"/>
          <a:ext cx="1905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16</xdr:col>
      <xdr:colOff>466725</xdr:colOff>
      <xdr:row>15</xdr:row>
      <xdr:rowOff>0</xdr:rowOff>
    </xdr:from>
    <xdr:to>
      <xdr:col>17</xdr:col>
      <xdr:colOff>47625</xdr:colOff>
      <xdr:row>15</xdr:row>
      <xdr:rowOff>142875</xdr:rowOff>
    </xdr:to>
    <xdr:sp macro="" textlink="">
      <xdr:nvSpPr>
        <xdr:cNvPr id="8" name="Incentives.Rebate.ToiletCheckBox.16gpf" hidden="1">
          <a:extLst>
            <a:ext uri="{63B3BB69-23CF-44E3-9099-C40C66FF867C}">
              <a14:compatExt xmlns:a14="http://schemas.microsoft.com/office/drawing/2010/main" spid="_x0000_s4119"/>
            </a:ext>
            <a:ext uri="{FF2B5EF4-FFF2-40B4-BE49-F238E27FC236}">
              <a16:creationId xmlns:a16="http://schemas.microsoft.com/office/drawing/2014/main" id="{00000000-0008-0000-0400-000008000000}"/>
            </a:ext>
          </a:extLst>
        </xdr:cNvPr>
        <xdr:cNvSpPr/>
      </xdr:nvSpPr>
      <xdr:spPr bwMode="auto">
        <a:xfrm>
          <a:off x="1419225" y="2714625"/>
          <a:ext cx="1905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16</xdr:col>
      <xdr:colOff>466725</xdr:colOff>
      <xdr:row>15</xdr:row>
      <xdr:rowOff>0</xdr:rowOff>
    </xdr:from>
    <xdr:to>
      <xdr:col>17</xdr:col>
      <xdr:colOff>47625</xdr:colOff>
      <xdr:row>15</xdr:row>
      <xdr:rowOff>142875</xdr:rowOff>
    </xdr:to>
    <xdr:sp macro="" textlink="">
      <xdr:nvSpPr>
        <xdr:cNvPr id="9" name="Incentives.Rebate.ToiletCheckBox.35gpf" hidden="1">
          <a:extLst>
            <a:ext uri="{63B3BB69-23CF-44E3-9099-C40C66FF867C}">
              <a14:compatExt xmlns:a14="http://schemas.microsoft.com/office/drawing/2010/main" spid="_x0000_s4120"/>
            </a:ext>
            <a:ext uri="{FF2B5EF4-FFF2-40B4-BE49-F238E27FC236}">
              <a16:creationId xmlns:a16="http://schemas.microsoft.com/office/drawing/2014/main" id="{00000000-0008-0000-0400-000009000000}"/>
            </a:ext>
          </a:extLst>
        </xdr:cNvPr>
        <xdr:cNvSpPr/>
      </xdr:nvSpPr>
      <xdr:spPr bwMode="auto">
        <a:xfrm>
          <a:off x="1419225" y="2524125"/>
          <a:ext cx="1905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16</xdr:col>
      <xdr:colOff>466725</xdr:colOff>
      <xdr:row>15</xdr:row>
      <xdr:rowOff>0</xdr:rowOff>
    </xdr:from>
    <xdr:to>
      <xdr:col>17</xdr:col>
      <xdr:colOff>47625</xdr:colOff>
      <xdr:row>15</xdr:row>
      <xdr:rowOff>142875</xdr:rowOff>
    </xdr:to>
    <xdr:sp macro="" textlink="">
      <xdr:nvSpPr>
        <xdr:cNvPr id="10" name="Incentives.Rebate.ShowerCheckBox.Combo" hidden="1">
          <a:extLst>
            <a:ext uri="{63B3BB69-23CF-44E3-9099-C40C66FF867C}">
              <a14:compatExt xmlns:a14="http://schemas.microsoft.com/office/drawing/2010/main" spid="_x0000_s4147"/>
            </a:ext>
            <a:ext uri="{FF2B5EF4-FFF2-40B4-BE49-F238E27FC236}">
              <a16:creationId xmlns:a16="http://schemas.microsoft.com/office/drawing/2014/main" id="{00000000-0008-0000-0400-00000A000000}"/>
            </a:ext>
          </a:extLst>
        </xdr:cNvPr>
        <xdr:cNvSpPr/>
      </xdr:nvSpPr>
      <xdr:spPr bwMode="auto">
        <a:xfrm>
          <a:off x="1419225" y="2333625"/>
          <a:ext cx="1905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16</xdr:col>
      <xdr:colOff>466725</xdr:colOff>
      <xdr:row>15</xdr:row>
      <xdr:rowOff>0</xdr:rowOff>
    </xdr:from>
    <xdr:to>
      <xdr:col>17</xdr:col>
      <xdr:colOff>47625</xdr:colOff>
      <xdr:row>15</xdr:row>
      <xdr:rowOff>142875</xdr:rowOff>
    </xdr:to>
    <xdr:sp macro="" textlink="">
      <xdr:nvSpPr>
        <xdr:cNvPr id="11" name="Incentives.Rebate.ShowerCheckBox.Hose" hidden="1">
          <a:extLst>
            <a:ext uri="{63B3BB69-23CF-44E3-9099-C40C66FF867C}">
              <a14:compatExt xmlns:a14="http://schemas.microsoft.com/office/drawing/2010/main" spid="_x0000_s4121"/>
            </a:ext>
            <a:ext uri="{FF2B5EF4-FFF2-40B4-BE49-F238E27FC236}">
              <a16:creationId xmlns:a16="http://schemas.microsoft.com/office/drawing/2014/main" id="{00000000-0008-0000-0400-00000B000000}"/>
            </a:ext>
          </a:extLst>
        </xdr:cNvPr>
        <xdr:cNvSpPr/>
      </xdr:nvSpPr>
      <xdr:spPr bwMode="auto">
        <a:xfrm>
          <a:off x="1419225" y="2143125"/>
          <a:ext cx="1905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16</xdr:col>
      <xdr:colOff>466725</xdr:colOff>
      <xdr:row>15</xdr:row>
      <xdr:rowOff>0</xdr:rowOff>
    </xdr:from>
    <xdr:to>
      <xdr:col>17</xdr:col>
      <xdr:colOff>47625</xdr:colOff>
      <xdr:row>15</xdr:row>
      <xdr:rowOff>152400</xdr:rowOff>
    </xdr:to>
    <xdr:sp macro="" textlink="">
      <xdr:nvSpPr>
        <xdr:cNvPr id="12" name="Incentives.Rebate.ShowerCheckBox.Fixed" hidden="1">
          <a:extLst>
            <a:ext uri="{63B3BB69-23CF-44E3-9099-C40C66FF867C}">
              <a14:compatExt xmlns:a14="http://schemas.microsoft.com/office/drawing/2010/main" spid="_x0000_s4122"/>
            </a:ext>
            <a:ext uri="{FF2B5EF4-FFF2-40B4-BE49-F238E27FC236}">
              <a16:creationId xmlns:a16="http://schemas.microsoft.com/office/drawing/2014/main" id="{00000000-0008-0000-0400-00000C000000}"/>
            </a:ext>
          </a:extLst>
        </xdr:cNvPr>
        <xdr:cNvSpPr/>
      </xdr:nvSpPr>
      <xdr:spPr bwMode="auto">
        <a:xfrm>
          <a:off x="1419225" y="1943100"/>
          <a:ext cx="1905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16</xdr:col>
      <xdr:colOff>466725</xdr:colOff>
      <xdr:row>15</xdr:row>
      <xdr:rowOff>0</xdr:rowOff>
    </xdr:from>
    <xdr:to>
      <xdr:col>17</xdr:col>
      <xdr:colOff>47625</xdr:colOff>
      <xdr:row>15</xdr:row>
      <xdr:rowOff>142875</xdr:rowOff>
    </xdr:to>
    <xdr:sp macro="" textlink="">
      <xdr:nvSpPr>
        <xdr:cNvPr id="13" name="Incentives.Rebate.SprayerCheckBox.Washdown" hidden="1">
          <a:extLst>
            <a:ext uri="{63B3BB69-23CF-44E3-9099-C40C66FF867C}">
              <a14:compatExt xmlns:a14="http://schemas.microsoft.com/office/drawing/2010/main" spid="_x0000_s4153"/>
            </a:ext>
            <a:ext uri="{FF2B5EF4-FFF2-40B4-BE49-F238E27FC236}">
              <a16:creationId xmlns:a16="http://schemas.microsoft.com/office/drawing/2014/main" id="{00000000-0008-0000-0400-00000D000000}"/>
            </a:ext>
          </a:extLst>
        </xdr:cNvPr>
        <xdr:cNvSpPr/>
      </xdr:nvSpPr>
      <xdr:spPr bwMode="auto">
        <a:xfrm>
          <a:off x="1419225" y="4314825"/>
          <a:ext cx="1905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16</xdr:col>
      <xdr:colOff>466725</xdr:colOff>
      <xdr:row>15</xdr:row>
      <xdr:rowOff>0</xdr:rowOff>
    </xdr:from>
    <xdr:to>
      <xdr:col>17</xdr:col>
      <xdr:colOff>47625</xdr:colOff>
      <xdr:row>15</xdr:row>
      <xdr:rowOff>152400</xdr:rowOff>
    </xdr:to>
    <xdr:sp macro="" textlink="">
      <xdr:nvSpPr>
        <xdr:cNvPr id="14" name="Incentives.Rebate.SprayerCheckBox.Kitchen" hidden="1">
          <a:extLst>
            <a:ext uri="{63B3BB69-23CF-44E3-9099-C40C66FF867C}">
              <a14:compatExt xmlns:a14="http://schemas.microsoft.com/office/drawing/2010/main" spid="_x0000_s4123"/>
            </a:ext>
            <a:ext uri="{FF2B5EF4-FFF2-40B4-BE49-F238E27FC236}">
              <a16:creationId xmlns:a16="http://schemas.microsoft.com/office/drawing/2014/main" id="{00000000-0008-0000-0400-00000E000000}"/>
            </a:ext>
          </a:extLst>
        </xdr:cNvPr>
        <xdr:cNvSpPr/>
      </xdr:nvSpPr>
      <xdr:spPr bwMode="auto">
        <a:xfrm>
          <a:off x="1419225" y="4143375"/>
          <a:ext cx="1905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16</xdr:col>
      <xdr:colOff>466725</xdr:colOff>
      <xdr:row>14</xdr:row>
      <xdr:rowOff>0</xdr:rowOff>
    </xdr:from>
    <xdr:to>
      <xdr:col>17</xdr:col>
      <xdr:colOff>47625</xdr:colOff>
      <xdr:row>14</xdr:row>
      <xdr:rowOff>133350</xdr:rowOff>
    </xdr:to>
    <xdr:sp macro="" textlink="">
      <xdr:nvSpPr>
        <xdr:cNvPr id="15" name="Incentives.Rebate.SinkCheckBox.WallDialysis" hidden="1">
          <a:extLst>
            <a:ext uri="{63B3BB69-23CF-44E3-9099-C40C66FF867C}">
              <a14:compatExt xmlns:a14="http://schemas.microsoft.com/office/drawing/2010/main" spid="_x0000_s4148"/>
            </a:ext>
            <a:ext uri="{FF2B5EF4-FFF2-40B4-BE49-F238E27FC236}">
              <a16:creationId xmlns:a16="http://schemas.microsoft.com/office/drawing/2014/main" id="{00000000-0008-0000-0400-00000F000000}"/>
            </a:ext>
          </a:extLst>
        </xdr:cNvPr>
        <xdr:cNvSpPr/>
      </xdr:nvSpPr>
      <xdr:spPr bwMode="auto">
        <a:xfrm>
          <a:off x="1419225" y="1590675"/>
          <a:ext cx="19050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16</xdr:col>
      <xdr:colOff>466725</xdr:colOff>
      <xdr:row>14</xdr:row>
      <xdr:rowOff>0</xdr:rowOff>
    </xdr:from>
    <xdr:to>
      <xdr:col>17</xdr:col>
      <xdr:colOff>47625</xdr:colOff>
      <xdr:row>14</xdr:row>
      <xdr:rowOff>142875</xdr:rowOff>
    </xdr:to>
    <xdr:sp macro="" textlink="">
      <xdr:nvSpPr>
        <xdr:cNvPr id="16" name="Incentives.Rebate.SinkCheckBox.Dialysis" hidden="1">
          <a:extLst>
            <a:ext uri="{63B3BB69-23CF-44E3-9099-C40C66FF867C}">
              <a14:compatExt xmlns:a14="http://schemas.microsoft.com/office/drawing/2010/main" spid="_x0000_s4124"/>
            </a:ext>
            <a:ext uri="{FF2B5EF4-FFF2-40B4-BE49-F238E27FC236}">
              <a16:creationId xmlns:a16="http://schemas.microsoft.com/office/drawing/2014/main" id="{00000000-0008-0000-0400-000010000000}"/>
            </a:ext>
          </a:extLst>
        </xdr:cNvPr>
        <xdr:cNvSpPr/>
      </xdr:nvSpPr>
      <xdr:spPr bwMode="auto">
        <a:xfrm>
          <a:off x="1419225" y="1381125"/>
          <a:ext cx="1905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16</xdr:col>
      <xdr:colOff>466725</xdr:colOff>
      <xdr:row>14</xdr:row>
      <xdr:rowOff>0</xdr:rowOff>
    </xdr:from>
    <xdr:to>
      <xdr:col>17</xdr:col>
      <xdr:colOff>47625</xdr:colOff>
      <xdr:row>14</xdr:row>
      <xdr:rowOff>142875</xdr:rowOff>
    </xdr:to>
    <xdr:sp macro="" textlink="">
      <xdr:nvSpPr>
        <xdr:cNvPr id="17" name="Incentives.Rebate.SinkCheckBox.RR" hidden="1">
          <a:extLst>
            <a:ext uri="{63B3BB69-23CF-44E3-9099-C40C66FF867C}">
              <a14:compatExt xmlns:a14="http://schemas.microsoft.com/office/drawing/2010/main" spid="_x0000_s4125"/>
            </a:ext>
            <a:ext uri="{FF2B5EF4-FFF2-40B4-BE49-F238E27FC236}">
              <a16:creationId xmlns:a16="http://schemas.microsoft.com/office/drawing/2014/main" id="{00000000-0008-0000-0400-000011000000}"/>
            </a:ext>
          </a:extLst>
        </xdr:cNvPr>
        <xdr:cNvSpPr/>
      </xdr:nvSpPr>
      <xdr:spPr bwMode="auto">
        <a:xfrm>
          <a:off x="1419225" y="1190625"/>
          <a:ext cx="1905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16</xdr:col>
      <xdr:colOff>466725</xdr:colOff>
      <xdr:row>13</xdr:row>
      <xdr:rowOff>9525</xdr:rowOff>
    </xdr:from>
    <xdr:to>
      <xdr:col>17</xdr:col>
      <xdr:colOff>47625</xdr:colOff>
      <xdr:row>13</xdr:row>
      <xdr:rowOff>152400</xdr:rowOff>
    </xdr:to>
    <xdr:sp macro="" textlink="">
      <xdr:nvSpPr>
        <xdr:cNvPr id="18" name="Incentives.Rebate.SinkCheckBox.Scrub" hidden="1">
          <a:extLst>
            <a:ext uri="{63B3BB69-23CF-44E3-9099-C40C66FF867C}">
              <a14:compatExt xmlns:a14="http://schemas.microsoft.com/office/drawing/2010/main" spid="_x0000_s4126"/>
            </a:ext>
            <a:ext uri="{FF2B5EF4-FFF2-40B4-BE49-F238E27FC236}">
              <a16:creationId xmlns:a16="http://schemas.microsoft.com/office/drawing/2014/main" id="{00000000-0008-0000-0400-000012000000}"/>
            </a:ext>
          </a:extLst>
        </xdr:cNvPr>
        <xdr:cNvSpPr/>
      </xdr:nvSpPr>
      <xdr:spPr bwMode="auto">
        <a:xfrm>
          <a:off x="1419225" y="1000125"/>
          <a:ext cx="1905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16</xdr:col>
      <xdr:colOff>466725</xdr:colOff>
      <xdr:row>12</xdr:row>
      <xdr:rowOff>9525</xdr:rowOff>
    </xdr:from>
    <xdr:to>
      <xdr:col>17</xdr:col>
      <xdr:colOff>47625</xdr:colOff>
      <xdr:row>12</xdr:row>
      <xdr:rowOff>152400</xdr:rowOff>
    </xdr:to>
    <xdr:sp macro="" textlink="">
      <xdr:nvSpPr>
        <xdr:cNvPr id="19" name="Incentives.Rebate.SinkCheckBox.Reg" hidden="1">
          <a:extLst>
            <a:ext uri="{63B3BB69-23CF-44E3-9099-C40C66FF867C}">
              <a14:compatExt xmlns:a14="http://schemas.microsoft.com/office/drawing/2010/main" spid="_x0000_s4127"/>
            </a:ext>
            <a:ext uri="{FF2B5EF4-FFF2-40B4-BE49-F238E27FC236}">
              <a16:creationId xmlns:a16="http://schemas.microsoft.com/office/drawing/2014/main" id="{00000000-0008-0000-0400-000013000000}"/>
            </a:ext>
          </a:extLst>
        </xdr:cNvPr>
        <xdr:cNvSpPr/>
      </xdr:nvSpPr>
      <xdr:spPr bwMode="auto">
        <a:xfrm>
          <a:off x="1419225" y="809625"/>
          <a:ext cx="1905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16</xdr:col>
      <xdr:colOff>466725</xdr:colOff>
      <xdr:row>14</xdr:row>
      <xdr:rowOff>28575</xdr:rowOff>
    </xdr:from>
    <xdr:to>
      <xdr:col>17</xdr:col>
      <xdr:colOff>47625</xdr:colOff>
      <xdr:row>14</xdr:row>
      <xdr:rowOff>161925</xdr:rowOff>
    </xdr:to>
    <xdr:sp macro="" textlink="">
      <xdr:nvSpPr>
        <xdr:cNvPr id="21" name="Incentives.Rebate.SinkCheckBox.WallDialysis" hidden="1">
          <a:extLst>
            <a:ext uri="{63B3BB69-23CF-44E3-9099-C40C66FF867C}">
              <a14:compatExt xmlns:a14="http://schemas.microsoft.com/office/drawing/2010/main" spid="_x0000_s4154"/>
            </a:ext>
            <a:ext uri="{FF2B5EF4-FFF2-40B4-BE49-F238E27FC236}">
              <a16:creationId xmlns:a16="http://schemas.microsoft.com/office/drawing/2014/main" id="{00000000-0008-0000-0400-000015000000}"/>
            </a:ext>
          </a:extLst>
        </xdr:cNvPr>
        <xdr:cNvSpPr/>
      </xdr:nvSpPr>
      <xdr:spPr bwMode="auto">
        <a:xfrm>
          <a:off x="1419225" y="1781175"/>
          <a:ext cx="19050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10</xdr:row>
      <xdr:rowOff>61912</xdr:rowOff>
    </xdr:from>
    <xdr:to>
      <xdr:col>3</xdr:col>
      <xdr:colOff>0</xdr:colOff>
      <xdr:row>24</xdr:row>
      <xdr:rowOff>138112</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1</xdr:colOff>
      <xdr:row>11</xdr:row>
      <xdr:rowOff>9524</xdr:rowOff>
    </xdr:from>
    <xdr:to>
      <xdr:col>2</xdr:col>
      <xdr:colOff>1581151</xdr:colOff>
      <xdr:row>26</xdr:row>
      <xdr:rowOff>152399</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323851</xdr:colOff>
      <xdr:row>1</xdr:row>
      <xdr:rowOff>23811</xdr:rowOff>
    </xdr:from>
    <xdr:to>
      <xdr:col>3</xdr:col>
      <xdr:colOff>1724026</xdr:colOff>
      <xdr:row>16</xdr:row>
      <xdr:rowOff>123824</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381001</xdr:colOff>
      <xdr:row>3</xdr:row>
      <xdr:rowOff>9524</xdr:rowOff>
    </xdr:from>
    <xdr:to>
      <xdr:col>4</xdr:col>
      <xdr:colOff>847725</xdr:colOff>
      <xdr:row>18</xdr:row>
      <xdr:rowOff>152399</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133350</xdr:colOff>
      <xdr:row>2</xdr:row>
      <xdr:rowOff>95248</xdr:rowOff>
    </xdr:from>
    <xdr:to>
      <xdr:col>10</xdr:col>
      <xdr:colOff>581024</xdr:colOff>
      <xdr:row>19</xdr:row>
      <xdr:rowOff>133349</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aterSavingsWorkboo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CR"/>
      <sheetName val="InstallProp"/>
      <sheetName val="Rebates"/>
      <sheetName val="Balance"/>
      <sheetName val="Domestics"/>
      <sheetName val="Cooling Towers"/>
      <sheetName val="Pumps"/>
      <sheetName val="Sterilizers"/>
      <sheetName val="iSurvey-Domestics"/>
      <sheetName val="UsageParams"/>
      <sheetName val="Stakeholders"/>
      <sheetName val="PriceList"/>
      <sheetName val="Takeoffs"/>
      <sheetName val="Survey"/>
      <sheetName val="Rates"/>
      <sheetName val="Adapter Counts"/>
    </sheetNames>
    <sheetDataSet>
      <sheetData sheetId="0"/>
      <sheetData sheetId="1">
        <row r="51">
          <cell r="L51">
            <v>131666.95000000001</v>
          </cell>
        </row>
      </sheetData>
      <sheetData sheetId="2">
        <row r="31">
          <cell r="I31">
            <v>5512</v>
          </cell>
          <cell r="J31">
            <v>6845</v>
          </cell>
          <cell r="K31">
            <v>6845</v>
          </cell>
        </row>
      </sheetData>
      <sheetData sheetId="3"/>
      <sheetData sheetId="4"/>
      <sheetData sheetId="5"/>
      <sheetData sheetId="6"/>
      <sheetData sheetId="7"/>
      <sheetData sheetId="8"/>
      <sheetData sheetId="9">
        <row r="2">
          <cell r="K2">
            <v>7.7499999999999999E-2</v>
          </cell>
        </row>
        <row r="4">
          <cell r="B4" t="str">
            <v>Sink</v>
          </cell>
          <cell r="F4">
            <v>1</v>
          </cell>
        </row>
        <row r="5">
          <cell r="B5" t="str">
            <v>Sink</v>
          </cell>
          <cell r="F5">
            <v>1.5</v>
          </cell>
        </row>
        <row r="6">
          <cell r="B6" t="str">
            <v>Sink</v>
          </cell>
          <cell r="F6">
            <v>0.5</v>
          </cell>
        </row>
        <row r="7">
          <cell r="B7" t="str">
            <v>Sink</v>
          </cell>
          <cell r="F7">
            <v>2.2000000000000002</v>
          </cell>
        </row>
        <row r="8">
          <cell r="B8" t="str">
            <v>Sink</v>
          </cell>
          <cell r="F8">
            <v>2.2000000000000002</v>
          </cell>
        </row>
        <row r="9">
          <cell r="B9" t="str">
            <v>Sink</v>
          </cell>
          <cell r="F9">
            <v>1</v>
          </cell>
        </row>
        <row r="10">
          <cell r="B10" t="str">
            <v>Shower</v>
          </cell>
          <cell r="F10">
            <v>1.5</v>
          </cell>
        </row>
        <row r="11">
          <cell r="B11" t="str">
            <v>Shower</v>
          </cell>
          <cell r="F11">
            <v>1.5</v>
          </cell>
        </row>
        <row r="12">
          <cell r="B12" t="str">
            <v>Shower</v>
          </cell>
          <cell r="F12">
            <v>1.5</v>
          </cell>
        </row>
        <row r="13">
          <cell r="B13" t="str">
            <v>Toilet</v>
          </cell>
          <cell r="F13">
            <v>2.33</v>
          </cell>
        </row>
        <row r="14">
          <cell r="B14" t="str">
            <v>Toilet</v>
          </cell>
          <cell r="F14">
            <v>1.27</v>
          </cell>
        </row>
        <row r="15">
          <cell r="B15" t="str">
            <v>Toilet</v>
          </cell>
          <cell r="F15">
            <v>1.28</v>
          </cell>
        </row>
        <row r="16">
          <cell r="B16" t="str">
            <v>Toilet</v>
          </cell>
          <cell r="F16">
            <v>2.33</v>
          </cell>
        </row>
        <row r="17">
          <cell r="B17" t="str">
            <v>Toilet</v>
          </cell>
          <cell r="F17">
            <v>0.125</v>
          </cell>
        </row>
        <row r="18">
          <cell r="B18" t="str">
            <v>Urinal</v>
          </cell>
          <cell r="F18">
            <v>0.75</v>
          </cell>
        </row>
        <row r="19">
          <cell r="B19" t="str">
            <v>Urinal</v>
          </cell>
          <cell r="F19">
            <v>0.5</v>
          </cell>
        </row>
        <row r="20">
          <cell r="B20" t="str">
            <v>Urinal</v>
          </cell>
          <cell r="F20">
            <v>0.125</v>
          </cell>
        </row>
        <row r="21">
          <cell r="B21" t="str">
            <v>Urinal</v>
          </cell>
          <cell r="F21">
            <v>0.125</v>
          </cell>
        </row>
        <row r="22">
          <cell r="B22" t="str">
            <v>Sprayer</v>
          </cell>
          <cell r="F22">
            <v>1.05</v>
          </cell>
        </row>
        <row r="23">
          <cell r="B23" t="str">
            <v>Sprayer</v>
          </cell>
          <cell r="F23">
            <v>1.05</v>
          </cell>
        </row>
        <row r="24">
          <cell r="B24" t="str">
            <v>Shower</v>
          </cell>
          <cell r="F24">
            <v>1.5</v>
          </cell>
        </row>
        <row r="25">
          <cell r="B25" t="str">
            <v>Sprayer</v>
          </cell>
          <cell r="F25">
            <v>1.05</v>
          </cell>
        </row>
        <row r="29">
          <cell r="P29">
            <v>4.9002613333333329</v>
          </cell>
        </row>
      </sheetData>
      <sheetData sheetId="10">
        <row r="4">
          <cell r="C4" t="str">
            <v>Healthcare Facility</v>
          </cell>
          <cell r="D4" t="str">
            <v>MWD</v>
          </cell>
          <cell r="E4" t="str">
            <v>MWDOC</v>
          </cell>
          <cell r="F4" t="str">
            <v>Socal Gas</v>
          </cell>
        </row>
        <row r="8">
          <cell r="C8" t="str">
            <v>Joe Smith</v>
          </cell>
          <cell r="G8" t="str">
            <v>Tyler Locke</v>
          </cell>
        </row>
        <row r="9">
          <cell r="C9" t="str">
            <v>Director of Facilities</v>
          </cell>
          <cell r="G9" t="str">
            <v>Senior Project Manager</v>
          </cell>
        </row>
      </sheetData>
      <sheetData sheetId="11">
        <row r="4">
          <cell r="E4">
            <v>22</v>
          </cell>
          <cell r="F4">
            <v>10</v>
          </cell>
          <cell r="G4">
            <v>32</v>
          </cell>
          <cell r="H4">
            <v>0.78</v>
          </cell>
          <cell r="I4">
            <v>32.78</v>
          </cell>
          <cell r="J4">
            <v>9</v>
          </cell>
          <cell r="K4">
            <v>3</v>
          </cell>
          <cell r="L4">
            <v>12</v>
          </cell>
          <cell r="M4">
            <v>0.23249999999999998</v>
          </cell>
          <cell r="N4">
            <v>12.2325</v>
          </cell>
        </row>
        <row r="5">
          <cell r="E5">
            <v>22</v>
          </cell>
          <cell r="F5">
            <v>10</v>
          </cell>
          <cell r="G5">
            <v>32</v>
          </cell>
          <cell r="H5">
            <v>0.78</v>
          </cell>
          <cell r="I5">
            <v>32.78</v>
          </cell>
          <cell r="J5">
            <v>9</v>
          </cell>
          <cell r="K5">
            <v>3</v>
          </cell>
          <cell r="L5">
            <v>12</v>
          </cell>
          <cell r="M5">
            <v>0.23249999999999998</v>
          </cell>
          <cell r="N5">
            <v>12.2325</v>
          </cell>
        </row>
        <row r="6">
          <cell r="E6">
            <v>22</v>
          </cell>
          <cell r="F6">
            <v>10</v>
          </cell>
          <cell r="G6">
            <v>32</v>
          </cell>
          <cell r="H6">
            <v>0.78</v>
          </cell>
          <cell r="I6">
            <v>32.78</v>
          </cell>
          <cell r="J6">
            <v>9</v>
          </cell>
          <cell r="K6">
            <v>3</v>
          </cell>
          <cell r="L6">
            <v>12</v>
          </cell>
          <cell r="M6">
            <v>0.23249999999999998</v>
          </cell>
          <cell r="N6">
            <v>12.2325</v>
          </cell>
        </row>
        <row r="7">
          <cell r="E7">
            <v>22</v>
          </cell>
          <cell r="F7">
            <v>10</v>
          </cell>
          <cell r="G7">
            <v>32</v>
          </cell>
          <cell r="H7">
            <v>0.78</v>
          </cell>
          <cell r="I7">
            <v>32.78</v>
          </cell>
          <cell r="J7">
            <v>9</v>
          </cell>
          <cell r="K7">
            <v>3</v>
          </cell>
          <cell r="L7">
            <v>12</v>
          </cell>
          <cell r="M7">
            <v>0.23249999999999998</v>
          </cell>
          <cell r="N7">
            <v>12.2325</v>
          </cell>
        </row>
        <row r="8">
          <cell r="E8">
            <v>22</v>
          </cell>
          <cell r="F8">
            <v>10</v>
          </cell>
          <cell r="G8">
            <v>32</v>
          </cell>
          <cell r="H8">
            <v>0.78</v>
          </cell>
          <cell r="I8">
            <v>32.78</v>
          </cell>
          <cell r="J8">
            <v>9</v>
          </cell>
          <cell r="K8">
            <v>3</v>
          </cell>
          <cell r="L8">
            <v>12</v>
          </cell>
          <cell r="M8">
            <v>0.23249999999999998</v>
          </cell>
          <cell r="N8">
            <v>12.2325</v>
          </cell>
        </row>
        <row r="9">
          <cell r="E9">
            <v>22</v>
          </cell>
          <cell r="F9">
            <v>28.66</v>
          </cell>
          <cell r="G9">
            <v>50.66</v>
          </cell>
          <cell r="H9">
            <v>2.2200000000000002</v>
          </cell>
          <cell r="I9">
            <v>52.88</v>
          </cell>
          <cell r="J9"/>
          <cell r="K9"/>
          <cell r="L9"/>
          <cell r="M9"/>
          <cell r="N9"/>
        </row>
        <row r="10">
          <cell r="E10">
            <v>22</v>
          </cell>
          <cell r="F10">
            <v>26</v>
          </cell>
          <cell r="G10">
            <v>48</v>
          </cell>
          <cell r="H10">
            <v>2.02</v>
          </cell>
          <cell r="I10">
            <v>50.02</v>
          </cell>
          <cell r="J10" t="str">
            <v>NA</v>
          </cell>
          <cell r="K10" t="str">
            <v>NA</v>
          </cell>
          <cell r="L10" t="str">
            <v>NA</v>
          </cell>
          <cell r="M10" t="str">
            <v>NA</v>
          </cell>
          <cell r="N10" t="str">
            <v>NA</v>
          </cell>
        </row>
        <row r="11">
          <cell r="E11">
            <v>22</v>
          </cell>
          <cell r="F11">
            <v>40</v>
          </cell>
          <cell r="G11">
            <v>62</v>
          </cell>
          <cell r="H11">
            <v>3.1</v>
          </cell>
          <cell r="I11">
            <v>65.099999999999994</v>
          </cell>
          <cell r="J11" t="str">
            <v>NA</v>
          </cell>
          <cell r="K11" t="str">
            <v>NA</v>
          </cell>
          <cell r="L11" t="str">
            <v>NA</v>
          </cell>
          <cell r="M11" t="str">
            <v>NA</v>
          </cell>
          <cell r="N11" t="str">
            <v>NA</v>
          </cell>
        </row>
        <row r="12">
          <cell r="E12">
            <v>22</v>
          </cell>
          <cell r="F12">
            <v>66</v>
          </cell>
          <cell r="G12">
            <v>88</v>
          </cell>
          <cell r="H12">
            <v>5.12</v>
          </cell>
          <cell r="I12">
            <v>93.12</v>
          </cell>
          <cell r="J12" t="str">
            <v>NA</v>
          </cell>
          <cell r="K12" t="str">
            <v>NA</v>
          </cell>
          <cell r="L12" t="str">
            <v>NA</v>
          </cell>
          <cell r="M12" t="str">
            <v>NA</v>
          </cell>
          <cell r="N12" t="str">
            <v>NA</v>
          </cell>
        </row>
        <row r="13">
          <cell r="E13">
            <v>32</v>
          </cell>
          <cell r="F13">
            <v>58.61</v>
          </cell>
          <cell r="G13">
            <v>90.61</v>
          </cell>
          <cell r="H13">
            <v>4.54</v>
          </cell>
          <cell r="I13">
            <v>95.15</v>
          </cell>
          <cell r="J13" t="str">
            <v>NA</v>
          </cell>
          <cell r="K13" t="str">
            <v>NA</v>
          </cell>
          <cell r="L13" t="str">
            <v>NA</v>
          </cell>
          <cell r="M13" t="str">
            <v>NA</v>
          </cell>
          <cell r="N13" t="str">
            <v>NA</v>
          </cell>
        </row>
        <row r="14">
          <cell r="E14">
            <v>32</v>
          </cell>
          <cell r="F14">
            <v>58.61</v>
          </cell>
          <cell r="G14">
            <v>90.61</v>
          </cell>
          <cell r="H14">
            <v>4.54</v>
          </cell>
          <cell r="I14">
            <v>95.15</v>
          </cell>
          <cell r="J14" t="str">
            <v>NA</v>
          </cell>
          <cell r="K14" t="str">
            <v>NA</v>
          </cell>
          <cell r="L14" t="str">
            <v>NA</v>
          </cell>
          <cell r="M14" t="str">
            <v>NA</v>
          </cell>
          <cell r="N14" t="str">
            <v>NA</v>
          </cell>
        </row>
        <row r="15">
          <cell r="E15">
            <v>32</v>
          </cell>
          <cell r="F15">
            <v>58.61</v>
          </cell>
          <cell r="G15">
            <v>90.61</v>
          </cell>
          <cell r="H15">
            <v>4.54</v>
          </cell>
          <cell r="I15">
            <v>95.15</v>
          </cell>
          <cell r="J15" t="str">
            <v>NA</v>
          </cell>
          <cell r="K15" t="str">
            <v>NA</v>
          </cell>
          <cell r="L15" t="str">
            <v>NA</v>
          </cell>
          <cell r="M15" t="str">
            <v>NA</v>
          </cell>
          <cell r="N15" t="str">
            <v>NA</v>
          </cell>
        </row>
        <row r="16">
          <cell r="E16">
            <v>32</v>
          </cell>
          <cell r="F16">
            <v>58.61</v>
          </cell>
          <cell r="G16">
            <v>90.61</v>
          </cell>
          <cell r="H16">
            <v>4.54</v>
          </cell>
          <cell r="I16">
            <v>95.15</v>
          </cell>
          <cell r="J16" t="str">
            <v>NA</v>
          </cell>
          <cell r="K16" t="str">
            <v>NA</v>
          </cell>
          <cell r="L16" t="str">
            <v>NA</v>
          </cell>
          <cell r="M16" t="str">
            <v>NA</v>
          </cell>
          <cell r="N16" t="str">
            <v>NA</v>
          </cell>
        </row>
        <row r="17">
          <cell r="E17">
            <v>0</v>
          </cell>
          <cell r="F17">
            <v>0</v>
          </cell>
          <cell r="G17">
            <v>0</v>
          </cell>
          <cell r="H17">
            <v>0</v>
          </cell>
          <cell r="I17">
            <v>0</v>
          </cell>
          <cell r="J17" t="str">
            <v>NA</v>
          </cell>
          <cell r="K17" t="str">
            <v>NA</v>
          </cell>
          <cell r="L17" t="str">
            <v>NA</v>
          </cell>
          <cell r="M17" t="str">
            <v>NA</v>
          </cell>
          <cell r="N17" t="str">
            <v>NA</v>
          </cell>
        </row>
        <row r="18">
          <cell r="E18">
            <v>32</v>
          </cell>
          <cell r="F18">
            <v>58.61</v>
          </cell>
          <cell r="G18">
            <v>90.61</v>
          </cell>
          <cell r="H18">
            <v>4.54</v>
          </cell>
          <cell r="I18">
            <v>95.15</v>
          </cell>
          <cell r="J18" t="str">
            <v>NA</v>
          </cell>
          <cell r="K18" t="str">
            <v>NA</v>
          </cell>
          <cell r="L18" t="str">
            <v>NA</v>
          </cell>
          <cell r="M18" t="str">
            <v>NA</v>
          </cell>
          <cell r="N18" t="str">
            <v>NA</v>
          </cell>
        </row>
        <row r="19">
          <cell r="E19">
            <v>32</v>
          </cell>
          <cell r="F19">
            <v>58.61</v>
          </cell>
          <cell r="G19">
            <v>90.61</v>
          </cell>
          <cell r="H19">
            <v>4.54</v>
          </cell>
          <cell r="I19">
            <v>95.15</v>
          </cell>
          <cell r="J19" t="str">
            <v>NA</v>
          </cell>
          <cell r="K19" t="str">
            <v>NA</v>
          </cell>
          <cell r="L19" t="str">
            <v>NA</v>
          </cell>
          <cell r="M19" t="str">
            <v>NA</v>
          </cell>
          <cell r="N19" t="str">
            <v>NA</v>
          </cell>
        </row>
        <row r="20">
          <cell r="E20">
            <v>32</v>
          </cell>
          <cell r="F20">
            <v>58.61</v>
          </cell>
          <cell r="G20">
            <v>90.61</v>
          </cell>
          <cell r="H20">
            <v>4.54</v>
          </cell>
          <cell r="I20">
            <v>95.15</v>
          </cell>
          <cell r="J20" t="str">
            <v>NA</v>
          </cell>
          <cell r="K20" t="str">
            <v>NA</v>
          </cell>
          <cell r="L20" t="str">
            <v>NA</v>
          </cell>
          <cell r="M20" t="str">
            <v>NA</v>
          </cell>
          <cell r="N20" t="str">
            <v>NA</v>
          </cell>
        </row>
        <row r="21">
          <cell r="E21">
            <v>0</v>
          </cell>
          <cell r="F21">
            <v>0</v>
          </cell>
          <cell r="G21">
            <v>0</v>
          </cell>
          <cell r="H21">
            <v>0</v>
          </cell>
          <cell r="I21">
            <v>0</v>
          </cell>
          <cell r="J21" t="str">
            <v>NA</v>
          </cell>
          <cell r="K21" t="str">
            <v>NA</v>
          </cell>
          <cell r="L21" t="str">
            <v>NA</v>
          </cell>
          <cell r="M21" t="str">
            <v>NA</v>
          </cell>
          <cell r="N21" t="str">
            <v>NA</v>
          </cell>
        </row>
        <row r="22">
          <cell r="E22">
            <v>22</v>
          </cell>
          <cell r="F22">
            <v>150</v>
          </cell>
          <cell r="G22">
            <v>172</v>
          </cell>
          <cell r="H22">
            <v>11.63</v>
          </cell>
          <cell r="I22">
            <v>183.63</v>
          </cell>
          <cell r="J22">
            <v>9</v>
          </cell>
          <cell r="K22">
            <v>3</v>
          </cell>
          <cell r="L22">
            <v>12</v>
          </cell>
          <cell r="M22">
            <v>0.23249999999999998</v>
          </cell>
          <cell r="N22">
            <v>12.2325</v>
          </cell>
        </row>
        <row r="23">
          <cell r="E23">
            <v>22</v>
          </cell>
          <cell r="F23">
            <v>150</v>
          </cell>
          <cell r="G23">
            <v>172</v>
          </cell>
          <cell r="H23">
            <v>11.63</v>
          </cell>
          <cell r="I23">
            <v>183.63</v>
          </cell>
          <cell r="J23">
            <v>9</v>
          </cell>
          <cell r="K23">
            <v>3</v>
          </cell>
          <cell r="L23">
            <v>12</v>
          </cell>
          <cell r="M23">
            <v>0.23249999999999998</v>
          </cell>
          <cell r="N23">
            <v>12.2325</v>
          </cell>
        </row>
        <row r="24">
          <cell r="E24">
            <v>0</v>
          </cell>
          <cell r="F24">
            <v>0</v>
          </cell>
          <cell r="G24">
            <v>0</v>
          </cell>
          <cell r="H24">
            <v>0</v>
          </cell>
          <cell r="I24">
            <v>0</v>
          </cell>
          <cell r="J24">
            <v>0</v>
          </cell>
          <cell r="K24">
            <v>0</v>
          </cell>
          <cell r="L24">
            <v>0</v>
          </cell>
          <cell r="M24">
            <v>0</v>
          </cell>
          <cell r="N24">
            <v>0</v>
          </cell>
        </row>
      </sheetData>
      <sheetData sheetId="12">
        <row r="5">
          <cell r="C5" t="str">
            <v>S&amp;PC</v>
          </cell>
          <cell r="P5">
            <v>429</v>
          </cell>
        </row>
        <row r="6">
          <cell r="C6" t="str">
            <v>Scrub</v>
          </cell>
          <cell r="P6">
            <v>33</v>
          </cell>
        </row>
        <row r="7">
          <cell r="C7" t="str">
            <v>RR</v>
          </cell>
          <cell r="P7">
            <v>168</v>
          </cell>
        </row>
        <row r="8">
          <cell r="C8" t="str">
            <v>Dialysis</v>
          </cell>
          <cell r="P8">
            <v>132</v>
          </cell>
        </row>
        <row r="9">
          <cell r="C9" t="str">
            <v>HWO</v>
          </cell>
          <cell r="P9">
            <v>0</v>
          </cell>
        </row>
        <row r="10">
          <cell r="C10" t="str">
            <v>Gooseneck</v>
          </cell>
          <cell r="P10">
            <v>0</v>
          </cell>
        </row>
        <row r="11">
          <cell r="C11" t="str">
            <v>Fixed</v>
          </cell>
          <cell r="P11">
            <v>57</v>
          </cell>
        </row>
        <row r="12">
          <cell r="C12" t="str">
            <v>Hose</v>
          </cell>
          <cell r="P12">
            <v>52</v>
          </cell>
        </row>
        <row r="13">
          <cell r="C13" t="str">
            <v>Combo</v>
          </cell>
          <cell r="P13">
            <v>0</v>
          </cell>
        </row>
        <row r="14">
          <cell r="C14">
            <v>3.5</v>
          </cell>
          <cell r="P14">
            <v>300</v>
          </cell>
        </row>
        <row r="15">
          <cell r="C15">
            <v>1.6</v>
          </cell>
          <cell r="P15">
            <v>60</v>
          </cell>
        </row>
        <row r="16">
          <cell r="C16">
            <v>1.28</v>
          </cell>
          <cell r="P16">
            <v>1</v>
          </cell>
        </row>
        <row r="17">
          <cell r="C17" t="str">
            <v>BPW</v>
          </cell>
          <cell r="P17">
            <v>21</v>
          </cell>
        </row>
        <row r="18">
          <cell r="C18" t="str">
            <v>Future Use</v>
          </cell>
          <cell r="P18"/>
        </row>
        <row r="19">
          <cell r="C19">
            <v>1.5</v>
          </cell>
          <cell r="P19">
            <v>7</v>
          </cell>
        </row>
        <row r="20">
          <cell r="C20">
            <v>1</v>
          </cell>
          <cell r="P20">
            <v>7</v>
          </cell>
        </row>
        <row r="21">
          <cell r="C21">
            <v>0.125</v>
          </cell>
          <cell r="P21">
            <v>0</v>
          </cell>
        </row>
        <row r="22">
          <cell r="C22" t="str">
            <v>USensor</v>
          </cell>
          <cell r="P22"/>
        </row>
        <row r="23">
          <cell r="C23" t="str">
            <v>PreRinse</v>
          </cell>
          <cell r="P23">
            <v>0</v>
          </cell>
        </row>
        <row r="24">
          <cell r="C24" t="str">
            <v>Washdown</v>
          </cell>
          <cell r="P24">
            <v>0</v>
          </cell>
        </row>
        <row r="25">
          <cell r="C25" t="str">
            <v>Future Use</v>
          </cell>
          <cell r="P25">
            <v>0</v>
          </cell>
        </row>
        <row r="26">
          <cell r="C26">
            <v>3.5</v>
          </cell>
          <cell r="P26">
            <v>0</v>
          </cell>
        </row>
        <row r="27">
          <cell r="C27">
            <v>1.6</v>
          </cell>
          <cell r="P27">
            <v>0</v>
          </cell>
        </row>
        <row r="28">
          <cell r="C28">
            <v>1.28</v>
          </cell>
          <cell r="P28">
            <v>0</v>
          </cell>
        </row>
        <row r="29">
          <cell r="C29" t="str">
            <v>BPW</v>
          </cell>
          <cell r="P29">
            <v>0</v>
          </cell>
        </row>
        <row r="30">
          <cell r="C30">
            <v>1.5</v>
          </cell>
          <cell r="P30">
            <v>0</v>
          </cell>
        </row>
        <row r="31">
          <cell r="C31">
            <v>1</v>
          </cell>
          <cell r="P31">
            <v>0</v>
          </cell>
        </row>
        <row r="32">
          <cell r="C32">
            <v>0.125</v>
          </cell>
          <cell r="P32">
            <v>0</v>
          </cell>
        </row>
        <row r="33">
          <cell r="C33" t="str">
            <v>USensor</v>
          </cell>
          <cell r="P33">
            <v>0</v>
          </cell>
        </row>
        <row r="34">
          <cell r="C34"/>
          <cell r="P34">
            <v>762</v>
          </cell>
        </row>
        <row r="35">
          <cell r="C35"/>
          <cell r="P35">
            <v>109</v>
          </cell>
        </row>
        <row r="36">
          <cell r="C36"/>
          <cell r="P36">
            <v>361</v>
          </cell>
        </row>
        <row r="37">
          <cell r="C37"/>
          <cell r="P37">
            <v>21</v>
          </cell>
        </row>
        <row r="38">
          <cell r="C38"/>
          <cell r="P38">
            <v>14</v>
          </cell>
        </row>
        <row r="39">
          <cell r="C39"/>
          <cell r="P39">
            <v>0</v>
          </cell>
        </row>
        <row r="40">
          <cell r="C40"/>
          <cell r="P40">
            <v>0</v>
          </cell>
        </row>
        <row r="41">
          <cell r="C41"/>
          <cell r="P41">
            <v>1267</v>
          </cell>
        </row>
      </sheetData>
      <sheetData sheetId="13"/>
      <sheetData sheetId="14"/>
      <sheetData sheetId="1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 refreshedDate="43479.72704351852" createdVersion="6" refreshedVersion="6" minRefreshableVersion="3" recordCount="624" xr:uid="{5924B7AC-7488-47E4-84AE-48993FB01032}">
  <cacheSource type="worksheet">
    <worksheetSource ref="A4:J628" sheet="Data"/>
  </cacheSource>
  <cacheFields count="10">
    <cacheField name="Utility Type" numFmtId="0">
      <sharedItems count="5">
        <s v="Producer/Marketer"/>
        <s v="Unknown"/>
        <s v="Investor owned utility"/>
        <s v="Publicly owned utility"/>
        <s v="Western Area Power Agency"/>
      </sharedItems>
    </cacheField>
    <cacheField name="Utility Name" numFmtId="0">
      <sharedItems count="74">
        <s v="Aera Energy"/>
        <s v="ARCO Western Energy"/>
        <s v="Arkoma Prod Co Of Calif"/>
        <s v="Avista Energy"/>
        <s v="Bakersfield Energy Resources, Inc."/>
        <s v="California Resources Elk Hills (CREH)"/>
        <s v="Campora Wholesale Propane, Inc."/>
        <s v="Capitol Oil Corp."/>
        <s v="Chevron USA Inc."/>
        <s v="Cinta Oil Company"/>
        <s v="City of Coalinga"/>
        <s v="Coastal Oil &amp; Gas Corp."/>
        <s v="Conoco, Inc"/>
        <s v="Crest Oil Co."/>
        <s v="Deklab Energy Co"/>
        <s v="Fortune Petroleum, Inc."/>
        <s v="Four Star Oil &amp; Gas Co. (aka Texaco)"/>
        <s v="H. T. Hilliard &amp; Co."/>
        <s v="Kelt Oil &amp; Gas Co."/>
        <s v="Long Beach Gas Department"/>
        <s v="Mentren Corp"/>
        <s v="MOBIL Oil Corp"/>
        <s v="Nahama &amp; Weagan Ener Co."/>
        <s v="Naval Petroleum Reserve"/>
        <s v="no name"/>
        <s v="Oryx Energy Co."/>
        <s v="OXY USA, Inc."/>
        <s v="Pacific Gas and Electric Company"/>
        <s v="Palo Alto, City of, Utilities Department"/>
        <s v="Phillips Petroleum Co."/>
        <s v="Quintana Petroleum"/>
        <s v="Sage Energy Co."/>
        <s v="San Diego Gas and Electric Company"/>
        <s v="Seneca Resources Corp"/>
        <s v="Southern California Gas Company"/>
        <s v="Texaco Expl &amp; Prod Inc."/>
        <s v="Texaco/Getty"/>
        <s v="THUMS Long Beach"/>
        <s v="Tidelands Oil Production Co."/>
        <s v="Triton Oil and Gas Corp"/>
        <s v="Unocal Corporation, Accounting Center"/>
        <s v="Venada National Oil and Gas Exploration"/>
        <s v="Western Continental Operating Co."/>
        <s v="McGill &amp; Shepard"/>
        <s v="PG&amp;E Resources Co."/>
        <s v="Atlantic Oil Company"/>
        <s v="E &amp; B Natural Resources"/>
        <s v="Petrotech Resources Co."/>
        <s v="Vern Jones Oil &amp; Gas Corp."/>
        <s v="Donald C. Slawson Expl. Co., Inc."/>
        <s v="Monterey Resources, Inc."/>
        <s v="Nuevo Energy (Torch Operating Company)"/>
        <s v="EOG Resources, Inc."/>
        <s v="Petersen Production Co., LLC."/>
        <s v="Samedan Oil Corp."/>
        <s v="Stocker Resources Inc."/>
        <s v="Texaco (McFarland)"/>
        <s v="Towne Exploration Company"/>
        <s v="Tri-Valley Oil &amp; Gas Co."/>
        <s v="Tuscarora Gas Transmission Company"/>
        <s v="Williams Energy Service"/>
        <s v="Aspen Exploration Corporation"/>
        <s v="BreitBurn Energy Company LLC"/>
        <s v="Calpine Gas Company"/>
        <s v="J.P. Oil Company, Inc."/>
        <s v="Stream Energy Inc."/>
        <s v="Crimson Resource Management"/>
        <s v="Unknown"/>
        <s v="Lib Power Holdings LLC"/>
        <s v="Pittsburg, City of (dba Island Energy on Mare Island)"/>
        <s v="City of Susanville"/>
        <s v="Vernon, City of"/>
        <s v="Southwest Gas Corporation"/>
        <s v="Gas Producer"/>
      </sharedItems>
    </cacheField>
    <cacheField name="Year" numFmtId="0">
      <sharedItems containsSemiMixedTypes="0" containsString="0" containsNumber="1" containsInteger="1" minValue="1990" maxValue="2017" count="28">
        <n v="1990"/>
        <n v="1991"/>
        <n v="1992"/>
        <n v="1993"/>
        <n v="1994"/>
        <n v="1995"/>
        <n v="1996"/>
        <n v="1997"/>
        <n v="1998"/>
        <n v="1999"/>
        <n v="2000"/>
        <n v="2001"/>
        <n v="2002"/>
        <n v="2003"/>
        <n v="2004"/>
        <n v="2005"/>
        <n v="2006"/>
        <n v="2007"/>
        <n v="2008"/>
        <n v="2009"/>
        <n v="2010"/>
        <n v="2011"/>
        <n v="2012"/>
        <n v="2013"/>
        <n v="2014"/>
        <n v="2015"/>
        <n v="2016"/>
        <n v="2017"/>
      </sharedItems>
    </cacheField>
    <cacheField name="Ag &amp; Water Pump" numFmtId="0">
      <sharedItems containsSemiMixedTypes="0" containsString="0" containsNumber="1" minValue="0" maxValue="101.360961"/>
    </cacheField>
    <cacheField name="Commercial Building" numFmtId="0">
      <sharedItems containsSemiMixedTypes="0" containsString="0" containsNumber="1" minValue="0" maxValue="938.02010800000005" count="230">
        <n v="1.6280000000000001E-3"/>
        <n v="0"/>
        <n v="6.3133990000000004"/>
        <n v="0.99503399999999997"/>
        <n v="25.491181999999998"/>
        <n v="718.75054499999999"/>
        <n v="16.412858"/>
        <n v="115.689617"/>
        <n v="757.80782999999997"/>
        <n v="6.3907889999999998"/>
        <n v="8.1444580000000002"/>
        <n v="1.116582"/>
        <n v="0.36976599999999998"/>
        <n v="22.110261000000001"/>
        <n v="739.700738"/>
        <n v="15.414624999999999"/>
        <n v="108.585916"/>
        <n v="745.34447999999998"/>
        <n v="9.8074320000000004"/>
        <n v="4.3973509999999996"/>
        <n v="0.95103400000000005"/>
        <n v="14.666601"/>
        <n v="672.08611099999996"/>
        <n v="13.639143000000001"/>
        <n v="120.222353"/>
        <n v="724.43559600000003"/>
        <n v="7.9797560000000001"/>
        <n v="4.2994820000000002"/>
        <n v="1.323115"/>
        <n v="22.713349000000001"/>
        <n v="700.43319899999995"/>
        <n v="14.882192999999999"/>
        <n v="109.24943500000001"/>
        <n v="740.81054500000005"/>
        <n v="6.206893"/>
        <n v="3.7896890000000001"/>
        <n v="25.191569999999999"/>
        <n v="767.32484299999999"/>
        <n v="16.207564999999999"/>
        <n v="129.57669899999999"/>
        <n v="734.59005200000001"/>
        <n v="5.3328239999999996"/>
        <n v="5.4653700000000001"/>
        <n v="24.088808"/>
        <n v="716.68645800000002"/>
        <n v="15.303786000000001"/>
        <n v="130.62473700000001"/>
        <n v="693.60781899999995"/>
        <n v="7.4116900000000001"/>
        <n v="8.0920710000000007"/>
        <n v="25.537987999999999"/>
        <n v="713.55992300000003"/>
        <n v="15.358551"/>
        <n v="126.66143"/>
        <n v="736.22725500000001"/>
        <n v="5.6587329999999998"/>
        <n v="0.621143"/>
        <n v="28.726769000000001"/>
        <n v="725.01911900000005"/>
        <n v="15.255953999999999"/>
        <n v="129.33404200000001"/>
        <n v="724.57169099999999"/>
        <n v="1.213721"/>
        <n v="4.8763579999999997"/>
        <n v="0.97435700000000003"/>
        <n v="32.687586000000003"/>
        <n v="820.31910000000005"/>
        <n v="16.236901"/>
        <n v="132.006643"/>
        <n v="816.32912399999998"/>
        <n v="5.521636"/>
        <n v="2.680431"/>
        <n v="4.6894749999999998"/>
        <n v="1.063234"/>
        <n v="35.366647999999998"/>
        <n v="857.83271500000001"/>
        <n v="16.147915999999999"/>
        <n v="134.679134"/>
        <n v="7.1335819999999996"/>
        <n v="849.103295"/>
        <n v="5.3483619999999998"/>
        <n v="0.97712399999999999"/>
        <n v="0.88897099999999996"/>
        <n v="34.743972999999997"/>
        <n v="868.07651499999997"/>
        <n v="12.60919"/>
        <n v="137.35737499999999"/>
        <n v="817.96958800000004"/>
        <n v="6.3097320000000003"/>
        <n v="5.4081409999999996"/>
        <n v="0.69292699999999996"/>
        <n v="40.927024000000003"/>
        <n v="748.75499500000001"/>
        <n v="10.793005000000001"/>
        <n v="146.943196"/>
        <n v="836.105907"/>
        <n v="4.9693529999999999"/>
        <n v="0.93590099999999998"/>
        <n v="47.124713"/>
        <n v="835.25343199999998"/>
        <n v="11.880058"/>
        <n v="151.44607099999999"/>
        <n v="848.65994499999999"/>
        <n v="2.5675330000000001"/>
        <n v="0.99001499999999998"/>
        <n v="37.595882000000003"/>
        <n v="864.16431"/>
        <n v="13.292821"/>
        <n v="158.469537"/>
        <n v="870.78807300000005"/>
        <n v="1.1059779999999999"/>
        <n v="0.75518300000000005"/>
        <n v="36.425345999999998"/>
        <n v="938.02010800000005"/>
        <n v="12.422157"/>
        <n v="159.938061"/>
        <n v="929.08929699999999"/>
        <n v="2.1554199999999999"/>
        <n v="1.126282"/>
        <n v="36.105651999999999"/>
        <n v="878.86560799999995"/>
        <n v="10.525857999999999"/>
        <n v="158.77951999999999"/>
        <n v="921.44074899999998"/>
        <n v="0.923207"/>
        <n v="50.003604000000003"/>
        <n v="903.52583500000003"/>
        <n v="13.249045000000001"/>
        <n v="153.667565"/>
        <n v="898.03384000000005"/>
        <n v="0.48968600000000001"/>
        <n v="36.015270000000001"/>
        <n v="869.82808699999998"/>
        <n v="13.255716"/>
        <n v="155.353126"/>
        <n v="913.75624100000005"/>
        <n v="25.995747999999999"/>
        <n v="895.101632"/>
        <n v="13.025014000000001"/>
        <n v="155.221689"/>
        <n v="882.10654099999999"/>
        <n v="30.211200000000002"/>
        <n v="878.44723999999997"/>
        <n v="11.767443999999999"/>
        <n v="149.92445499999999"/>
        <n v="864.31666399999995"/>
        <n v="25.789368"/>
        <n v="893.59199599999999"/>
        <n v="11.437797"/>
        <n v="163.45973699999999"/>
        <n v="897.95026499999994"/>
        <n v="27.026921000000002"/>
        <n v="898.93489399999999"/>
        <n v="12.467933"/>
        <n v="156.33653899999999"/>
        <n v="913.79469600000004"/>
        <n v="1.7255E-2"/>
        <n v="26.070233000000002"/>
        <n v="909.27870600000006"/>
        <n v="13.953751"/>
        <n v="0.17496400000000001"/>
        <n v="155.822779"/>
        <n v="897.34731499999998"/>
        <n v="0.91869000000000001"/>
        <n v="1.0522E-2"/>
        <n v="26.675422999999999"/>
        <n v="917.99156700000003"/>
        <n v="12.187662"/>
        <n v="0.19012499999999999"/>
        <n v="162.28184899999999"/>
        <n v="920.639049"/>
        <n v="0.88511099999999998"/>
        <n v="22.083289000000001"/>
        <n v="809.51630599999999"/>
        <n v="13.969301"/>
        <n v="0.21972700000000001"/>
        <n v="153.116827"/>
        <n v="842.24309900000003"/>
        <n v="0.679844"/>
        <n v="0.94407200000000002"/>
        <n v="22.438683999999999"/>
        <n v="816.95232999999996"/>
        <n v="13.249836999999999"/>
        <n v="0.22636899999999999"/>
        <n v="153.19383999999999"/>
        <n v="851.16122099999995"/>
        <n v="1.0679590000000001"/>
        <n v="23.161384999999999"/>
        <n v="842.90992400000005"/>
        <n v="13.884188"/>
        <n v="0.252222"/>
        <n v="158.536517"/>
        <n v="892.508331"/>
        <n v="0.61495900000000003"/>
        <n v="1.1303000000000001"/>
        <n v="22.404088000000002"/>
        <n v="864.80980299999999"/>
        <n v="14.791846"/>
        <n v="0.25600400000000001"/>
        <n v="163.24338399999999"/>
        <n v="895.86177399999997"/>
        <n v="5.0085040000000003"/>
        <n v="12.838578999999999"/>
        <n v="15.532095999999999"/>
        <n v="11.986488"/>
        <n v="12.562552999999999"/>
        <n v="12.355816000000001"/>
        <n v="8.9680420000000005"/>
        <n v="12.269354999999999"/>
        <n v="14.981498"/>
        <n v="18.441240000000001"/>
        <n v="17.287158000000002"/>
        <n v="16.591564000000002"/>
        <n v="14.351115"/>
        <n v="15.292441"/>
        <n v="20.420157"/>
        <n v="24.664023"/>
        <n v="22.914579"/>
        <n v="33.068438999999998"/>
        <n v="33.301971999999999"/>
        <n v="30.26681"/>
        <n v="32.901736999999997"/>
        <n v="31.190567000000001"/>
        <n v="31.805211"/>
        <n v="29.701974"/>
        <n v="30.914988000000001"/>
        <n v="28.793589000000001"/>
        <n v="29.868231999999999"/>
        <n v="30.162979"/>
        <n v="31.447499000000001"/>
      </sharedItems>
      <fieldGroup base="4">
        <rangePr autoStart="0" autoEnd="0" startNum="50" endNum="1000" groupInterval="100"/>
        <groupItems count="12">
          <s v="&lt;50"/>
          <s v="50-150"/>
          <s v="150-250"/>
          <s v="250-350"/>
          <s v="350-450"/>
          <s v="450-550"/>
          <s v="550-650"/>
          <s v="650-750"/>
          <s v="750-850"/>
          <s v="850-950"/>
          <s v="950-1050"/>
          <s v="&gt;1050"/>
        </groupItems>
      </fieldGroup>
    </cacheField>
    <cacheField name="Commercial Other" numFmtId="0">
      <sharedItems containsSemiMixedTypes="0" containsString="0" containsNumber="1" minValue="0" maxValue="111.278847"/>
    </cacheField>
    <cacheField name="Industry" numFmtId="0">
      <sharedItems containsSemiMixedTypes="0" containsString="0" containsNumber="1" minValue="0" maxValue="2001.197991"/>
    </cacheField>
    <cacheField name="Mining &amp; Construction" numFmtId="0">
      <sharedItems containsSemiMixedTypes="0" containsString="0" containsNumber="1" minValue="0" maxValue="2337.5663599999998"/>
    </cacheField>
    <cacheField name="Residential" numFmtId="0">
      <sharedItems containsSemiMixedTypes="0" containsString="0" containsNumber="1" minValue="0" maxValue="2814.0746370000002"/>
    </cacheField>
    <cacheField name="Total Usage" numFmtId="0">
      <sharedItems containsSemiMixedTypes="0" containsString="0" containsNumber="1" minValue="4.5170000000000002E-3" maxValue="5964.3207519999996"/>
    </cacheField>
  </cacheFields>
  <extLst>
    <ext xmlns:x14="http://schemas.microsoft.com/office/spreadsheetml/2009/9/main" uri="{725AE2AE-9491-48be-B2B4-4EB974FC3084}">
      <x14:pivotCacheDefinition pivotCacheId="14702702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4">
  <r>
    <x v="0"/>
    <x v="0"/>
    <x v="0"/>
    <n v="7.2557999999999997E-2"/>
    <x v="0"/>
    <n v="0"/>
    <n v="40.359760999999999"/>
    <n v="0"/>
    <n v="0"/>
    <n v="40.433947000000003"/>
  </r>
  <r>
    <x v="1"/>
    <x v="1"/>
    <x v="0"/>
    <n v="0"/>
    <x v="1"/>
    <n v="0"/>
    <n v="2.9782150000000001"/>
    <n v="42.365785000000002"/>
    <n v="0"/>
    <n v="45.344000000000001"/>
  </r>
  <r>
    <x v="1"/>
    <x v="2"/>
    <x v="0"/>
    <n v="0"/>
    <x v="1"/>
    <n v="0"/>
    <n v="1.992615"/>
    <n v="0"/>
    <n v="0"/>
    <n v="1.992615"/>
  </r>
  <r>
    <x v="2"/>
    <x v="3"/>
    <x v="0"/>
    <n v="0.36957800000000002"/>
    <x v="2"/>
    <n v="7.3585999999999999E-2"/>
    <n v="8.5025000000000003E-2"/>
    <n v="4.5374999999999999E-2"/>
    <n v="4.28E-3"/>
    <n v="6.8912430000000002"/>
  </r>
  <r>
    <x v="1"/>
    <x v="4"/>
    <x v="0"/>
    <n v="0"/>
    <x v="1"/>
    <n v="0"/>
    <n v="0"/>
    <n v="0.47515200000000002"/>
    <n v="0"/>
    <n v="0.47515200000000002"/>
  </r>
  <r>
    <x v="0"/>
    <x v="5"/>
    <x v="0"/>
    <n v="0"/>
    <x v="1"/>
    <n v="0"/>
    <n v="0"/>
    <n v="95.412407000000002"/>
    <n v="0"/>
    <n v="95.412407000000002"/>
  </r>
  <r>
    <x v="1"/>
    <x v="6"/>
    <x v="0"/>
    <n v="0"/>
    <x v="1"/>
    <n v="0"/>
    <n v="1.439127"/>
    <n v="0"/>
    <n v="0"/>
    <n v="1.439127"/>
  </r>
  <r>
    <x v="1"/>
    <x v="7"/>
    <x v="0"/>
    <n v="0"/>
    <x v="1"/>
    <n v="0"/>
    <n v="13.743664000000001"/>
    <n v="0"/>
    <n v="0"/>
    <n v="13.743664000000001"/>
  </r>
  <r>
    <x v="0"/>
    <x v="8"/>
    <x v="0"/>
    <n v="0"/>
    <x v="1"/>
    <n v="0"/>
    <n v="176.92672200000001"/>
    <n v="225.42721800000001"/>
    <n v="0"/>
    <n v="402.35394000000002"/>
  </r>
  <r>
    <x v="1"/>
    <x v="9"/>
    <x v="0"/>
    <n v="0"/>
    <x v="1"/>
    <n v="0"/>
    <n v="11.803032"/>
    <n v="0"/>
    <n v="0"/>
    <n v="11.803032"/>
  </r>
  <r>
    <x v="3"/>
    <x v="10"/>
    <x v="0"/>
    <n v="0"/>
    <x v="3"/>
    <n v="0"/>
    <n v="2.8E-3"/>
    <n v="0"/>
    <n v="1.479654"/>
    <n v="2.4774880000000001"/>
  </r>
  <r>
    <x v="1"/>
    <x v="11"/>
    <x v="0"/>
    <n v="0"/>
    <x v="1"/>
    <n v="0"/>
    <n v="0"/>
    <n v="0.241123"/>
    <n v="0"/>
    <n v="0.241123"/>
  </r>
  <r>
    <x v="1"/>
    <x v="12"/>
    <x v="0"/>
    <n v="0"/>
    <x v="1"/>
    <n v="0"/>
    <n v="17.870227"/>
    <n v="0"/>
    <n v="0"/>
    <n v="17.870227"/>
  </r>
  <r>
    <x v="1"/>
    <x v="13"/>
    <x v="0"/>
    <n v="0"/>
    <x v="1"/>
    <n v="0"/>
    <n v="4.3035999999999998E-2"/>
    <n v="0"/>
    <n v="0"/>
    <n v="4.3035999999999998E-2"/>
  </r>
  <r>
    <x v="1"/>
    <x v="14"/>
    <x v="0"/>
    <n v="0"/>
    <x v="1"/>
    <n v="0"/>
    <n v="0.64734999999999998"/>
    <n v="0"/>
    <n v="0"/>
    <n v="0.64734999999999998"/>
  </r>
  <r>
    <x v="1"/>
    <x v="15"/>
    <x v="0"/>
    <n v="0"/>
    <x v="1"/>
    <n v="0"/>
    <n v="0.173677"/>
    <n v="0"/>
    <n v="0"/>
    <n v="0.173677"/>
  </r>
  <r>
    <x v="1"/>
    <x v="16"/>
    <x v="0"/>
    <n v="0"/>
    <x v="1"/>
    <n v="0"/>
    <n v="0"/>
    <n v="10.710686000000001"/>
    <n v="0"/>
    <n v="10.710686000000001"/>
  </r>
  <r>
    <x v="1"/>
    <x v="17"/>
    <x v="0"/>
    <n v="0"/>
    <x v="1"/>
    <n v="0"/>
    <n v="3.8753639999999998"/>
    <n v="0"/>
    <n v="0"/>
    <n v="3.8753639999999998"/>
  </r>
  <r>
    <x v="1"/>
    <x v="18"/>
    <x v="0"/>
    <n v="0"/>
    <x v="1"/>
    <n v="0"/>
    <n v="0.133633"/>
    <n v="0"/>
    <n v="0"/>
    <n v="0.133633"/>
  </r>
  <r>
    <x v="3"/>
    <x v="19"/>
    <x v="0"/>
    <n v="3.7616999999999998E-2"/>
    <x v="4"/>
    <n v="0.32936100000000001"/>
    <n v="16.186692000000001"/>
    <n v="1.169756"/>
    <n v="57.946373000000001"/>
    <n v="101.16098100000001"/>
  </r>
  <r>
    <x v="1"/>
    <x v="20"/>
    <x v="0"/>
    <n v="0"/>
    <x v="1"/>
    <n v="0"/>
    <n v="0"/>
    <n v="0.96150999999999998"/>
    <n v="0"/>
    <n v="0.96150999999999998"/>
  </r>
  <r>
    <x v="1"/>
    <x v="21"/>
    <x v="0"/>
    <n v="0"/>
    <x v="1"/>
    <n v="0"/>
    <n v="0"/>
    <n v="22.521743000000001"/>
    <n v="0"/>
    <n v="22.521743000000001"/>
  </r>
  <r>
    <x v="1"/>
    <x v="22"/>
    <x v="0"/>
    <n v="0"/>
    <x v="1"/>
    <n v="0"/>
    <n v="8.2236000000000004E-2"/>
    <n v="0"/>
    <n v="0"/>
    <n v="8.2236000000000004E-2"/>
  </r>
  <r>
    <x v="1"/>
    <x v="23"/>
    <x v="0"/>
    <n v="0"/>
    <x v="1"/>
    <n v="0"/>
    <n v="0"/>
    <n v="93.908734999999993"/>
    <n v="0"/>
    <n v="93.908734999999993"/>
  </r>
  <r>
    <x v="1"/>
    <x v="24"/>
    <x v="0"/>
    <n v="0"/>
    <x v="1"/>
    <n v="0"/>
    <n v="2.0974780000000002"/>
    <n v="0"/>
    <n v="0"/>
    <n v="2.0974780000000002"/>
  </r>
  <r>
    <x v="1"/>
    <x v="25"/>
    <x v="0"/>
    <n v="0"/>
    <x v="1"/>
    <n v="0"/>
    <n v="1.2215609999999999"/>
    <n v="0"/>
    <n v="0"/>
    <n v="1.2215609999999999"/>
  </r>
  <r>
    <x v="1"/>
    <x v="26"/>
    <x v="0"/>
    <n v="0.23614199999999999"/>
    <x v="1"/>
    <n v="0"/>
    <n v="0"/>
    <n v="4.1453049999999996"/>
    <n v="0"/>
    <n v="4.3814469999999996"/>
  </r>
  <r>
    <x v="2"/>
    <x v="27"/>
    <x v="0"/>
    <n v="61.259016000000003"/>
    <x v="5"/>
    <n v="45.895930999999997"/>
    <n v="1649.4452590000001"/>
    <n v="78.667895999999999"/>
    <n v="2090.9226960000001"/>
    <n v="4644.9413430000004"/>
  </r>
  <r>
    <x v="3"/>
    <x v="28"/>
    <x v="0"/>
    <n v="9.59E-4"/>
    <x v="6"/>
    <n v="7.4630000000000002E-2"/>
    <n v="4.5899039999999998"/>
    <n v="3.0294000000000001E-2"/>
    <n v="16.373664999999999"/>
    <n v="37.482309999999998"/>
  </r>
  <r>
    <x v="1"/>
    <x v="29"/>
    <x v="0"/>
    <n v="0"/>
    <x v="1"/>
    <n v="0"/>
    <n v="0.17876"/>
    <n v="0.64098500000000003"/>
    <n v="0"/>
    <n v="0.81974499999999995"/>
  </r>
  <r>
    <x v="1"/>
    <x v="30"/>
    <x v="0"/>
    <n v="0"/>
    <x v="1"/>
    <n v="0"/>
    <n v="1.1125890000000001"/>
    <n v="3.3943000000000001E-2"/>
    <n v="0"/>
    <n v="1.1465320000000001"/>
  </r>
  <r>
    <x v="1"/>
    <x v="31"/>
    <x v="0"/>
    <n v="0"/>
    <x v="1"/>
    <n v="0"/>
    <n v="0.29836699999999999"/>
    <n v="0"/>
    <n v="0"/>
    <n v="0.29836699999999999"/>
  </r>
  <r>
    <x v="2"/>
    <x v="32"/>
    <x v="0"/>
    <n v="6.4655009999999997"/>
    <x v="7"/>
    <n v="19.782419000000001"/>
    <n v="33.377237000000001"/>
    <n v="5.2758060000000002"/>
    <n v="337.91490399999998"/>
    <n v="518.50548400000002"/>
  </r>
  <r>
    <x v="1"/>
    <x v="33"/>
    <x v="0"/>
    <n v="0"/>
    <x v="1"/>
    <n v="0"/>
    <n v="5.8159380000000001"/>
    <n v="1.338157"/>
    <n v="0"/>
    <n v="7.1540949999999999"/>
  </r>
  <r>
    <x v="2"/>
    <x v="34"/>
    <x v="0"/>
    <n v="56.225745000000003"/>
    <x v="8"/>
    <n v="57.704821000000003"/>
    <n v="1069.731295"/>
    <n v="586.27234399999998"/>
    <n v="2629.3475130000002"/>
    <n v="5157.0895479999999"/>
  </r>
  <r>
    <x v="1"/>
    <x v="35"/>
    <x v="0"/>
    <n v="0"/>
    <x v="1"/>
    <n v="0"/>
    <n v="0"/>
    <n v="39.273237000000002"/>
    <n v="0"/>
    <n v="39.273237000000002"/>
  </r>
  <r>
    <x v="1"/>
    <x v="36"/>
    <x v="0"/>
    <n v="0"/>
    <x v="1"/>
    <n v="0"/>
    <n v="0"/>
    <n v="56.680447999999998"/>
    <n v="0"/>
    <n v="56.680447999999998"/>
  </r>
  <r>
    <x v="1"/>
    <x v="37"/>
    <x v="0"/>
    <n v="0"/>
    <x v="1"/>
    <n v="0"/>
    <n v="0"/>
    <n v="1.4576089999999999"/>
    <n v="0"/>
    <n v="1.4576089999999999"/>
  </r>
  <r>
    <x v="1"/>
    <x v="38"/>
    <x v="0"/>
    <n v="0"/>
    <x v="1"/>
    <n v="0"/>
    <n v="0"/>
    <n v="3.8622010000000002"/>
    <n v="0"/>
    <n v="3.8622010000000002"/>
  </r>
  <r>
    <x v="1"/>
    <x v="39"/>
    <x v="0"/>
    <n v="0"/>
    <x v="1"/>
    <n v="0"/>
    <n v="0"/>
    <n v="0.32564100000000001"/>
    <n v="0"/>
    <n v="0.32564100000000001"/>
  </r>
  <r>
    <x v="1"/>
    <x v="40"/>
    <x v="0"/>
    <n v="0"/>
    <x v="9"/>
    <n v="0"/>
    <n v="33.681486999999997"/>
    <n v="0"/>
    <n v="0"/>
    <n v="40.072276000000002"/>
  </r>
  <r>
    <x v="1"/>
    <x v="41"/>
    <x v="0"/>
    <n v="0"/>
    <x v="1"/>
    <n v="0"/>
    <n v="2.8027099999999998"/>
    <n v="0"/>
    <n v="0"/>
    <n v="2.8027099999999998"/>
  </r>
  <r>
    <x v="1"/>
    <x v="42"/>
    <x v="0"/>
    <n v="0"/>
    <x v="1"/>
    <n v="0"/>
    <n v="7.6604429999999999"/>
    <n v="0.213564"/>
    <n v="0"/>
    <n v="7.8740069999999998"/>
  </r>
  <r>
    <x v="2"/>
    <x v="3"/>
    <x v="1"/>
    <n v="0.56014399999999998"/>
    <x v="10"/>
    <n v="8.7863999999999998E-2"/>
    <n v="0.10460999999999999"/>
    <n v="7.7468999999999996E-2"/>
    <n v="2.5796589999999999"/>
    <n v="11.554204"/>
  </r>
  <r>
    <x v="1"/>
    <x v="4"/>
    <x v="1"/>
    <n v="0"/>
    <x v="1"/>
    <n v="0"/>
    <n v="0"/>
    <n v="3.8364000000000002E-2"/>
    <n v="0"/>
    <n v="3.8364000000000002E-2"/>
  </r>
  <r>
    <x v="0"/>
    <x v="5"/>
    <x v="1"/>
    <n v="0"/>
    <x v="1"/>
    <n v="0"/>
    <n v="0"/>
    <n v="112.38833"/>
    <n v="0"/>
    <n v="112.38833"/>
  </r>
  <r>
    <x v="0"/>
    <x v="8"/>
    <x v="1"/>
    <n v="0"/>
    <x v="1"/>
    <n v="0"/>
    <n v="201.271773"/>
    <n v="231.46060399999999"/>
    <n v="0"/>
    <n v="432.73237699999999"/>
  </r>
  <r>
    <x v="3"/>
    <x v="10"/>
    <x v="1"/>
    <n v="0"/>
    <x v="11"/>
    <n v="0"/>
    <n v="0"/>
    <n v="0"/>
    <n v="1.086943"/>
    <n v="2.203525"/>
  </r>
  <r>
    <x v="1"/>
    <x v="11"/>
    <x v="1"/>
    <n v="0"/>
    <x v="1"/>
    <n v="0"/>
    <n v="0"/>
    <n v="0.37638500000000003"/>
    <n v="0"/>
    <n v="0.37638500000000003"/>
  </r>
  <r>
    <x v="1"/>
    <x v="12"/>
    <x v="1"/>
    <n v="0"/>
    <x v="12"/>
    <n v="0"/>
    <n v="4.6271449999999996"/>
    <n v="51.441777999999999"/>
    <n v="0"/>
    <n v="56.438688999999997"/>
  </r>
  <r>
    <x v="1"/>
    <x v="16"/>
    <x v="1"/>
    <n v="0"/>
    <x v="1"/>
    <n v="0"/>
    <n v="0"/>
    <n v="10.503844000000001"/>
    <n v="0"/>
    <n v="10.503844000000001"/>
  </r>
  <r>
    <x v="3"/>
    <x v="19"/>
    <x v="1"/>
    <n v="6.4938999999999997E-2"/>
    <x v="13"/>
    <n v="0.45685399999999998"/>
    <n v="11.102831999999999"/>
    <n v="1.4088540000000001"/>
    <n v="56.014865999999998"/>
    <n v="91.158606000000006"/>
  </r>
  <r>
    <x v="1"/>
    <x v="43"/>
    <x v="1"/>
    <n v="0"/>
    <x v="1"/>
    <n v="0"/>
    <n v="0"/>
    <n v="4.5819609999999997"/>
    <n v="0"/>
    <n v="4.5819609999999997"/>
  </r>
  <r>
    <x v="2"/>
    <x v="27"/>
    <x v="1"/>
    <n v="59.580292999999998"/>
    <x v="14"/>
    <n v="48.008684000000002"/>
    <n v="1512.418893"/>
    <n v="77.874435000000005"/>
    <n v="2152.320659"/>
    <n v="4589.9037019999996"/>
  </r>
  <r>
    <x v="3"/>
    <x v="28"/>
    <x v="1"/>
    <n v="8.7100000000000003E-4"/>
    <x v="15"/>
    <n v="4.5199999999999997E-2"/>
    <n v="4.5807219999999997"/>
    <n v="4.3104999999999997E-2"/>
    <n v="16.047946"/>
    <n v="36.132469"/>
  </r>
  <r>
    <x v="1"/>
    <x v="44"/>
    <x v="1"/>
    <n v="0"/>
    <x v="1"/>
    <n v="0"/>
    <n v="0"/>
    <n v="0.44741599999999998"/>
    <n v="0"/>
    <n v="0.44741599999999998"/>
  </r>
  <r>
    <x v="1"/>
    <x v="29"/>
    <x v="1"/>
    <n v="0"/>
    <x v="1"/>
    <n v="0"/>
    <n v="12.051366"/>
    <n v="10.507877000000001"/>
    <n v="0"/>
    <n v="22.559242999999999"/>
  </r>
  <r>
    <x v="1"/>
    <x v="30"/>
    <x v="1"/>
    <n v="0"/>
    <x v="1"/>
    <n v="0"/>
    <n v="0.27877999999999997"/>
    <n v="0.33269199999999999"/>
    <n v="0"/>
    <n v="0.61147200000000002"/>
  </r>
  <r>
    <x v="2"/>
    <x v="32"/>
    <x v="1"/>
    <n v="5.508229"/>
    <x v="16"/>
    <n v="17.540253"/>
    <n v="32.895564"/>
    <n v="6.2523200000000001"/>
    <n v="335.28209500000003"/>
    <n v="506.06437699999998"/>
  </r>
  <r>
    <x v="2"/>
    <x v="34"/>
    <x v="1"/>
    <n v="52.071269000000001"/>
    <x v="17"/>
    <n v="99.810441999999995"/>
    <n v="1022.572779"/>
    <n v="687.14943400000004"/>
    <n v="2648.6256020000001"/>
    <n v="5255.5740059999998"/>
  </r>
  <r>
    <x v="1"/>
    <x v="35"/>
    <x v="1"/>
    <n v="0"/>
    <x v="1"/>
    <n v="0"/>
    <n v="0"/>
    <n v="38.137416000000002"/>
    <n v="0"/>
    <n v="38.137416000000002"/>
  </r>
  <r>
    <x v="1"/>
    <x v="38"/>
    <x v="1"/>
    <n v="0"/>
    <x v="1"/>
    <n v="0"/>
    <n v="0"/>
    <n v="3.6444070000000002"/>
    <n v="0"/>
    <n v="3.6444070000000002"/>
  </r>
  <r>
    <x v="1"/>
    <x v="40"/>
    <x v="1"/>
    <n v="0"/>
    <x v="18"/>
    <n v="0"/>
    <n v="37.288935000000002"/>
    <n v="0"/>
    <n v="0"/>
    <n v="47.096367000000001"/>
  </r>
  <r>
    <x v="1"/>
    <x v="41"/>
    <x v="1"/>
    <n v="0"/>
    <x v="1"/>
    <n v="0"/>
    <n v="5.6664159999999999"/>
    <n v="0"/>
    <n v="0"/>
    <n v="5.6664159999999999"/>
  </r>
  <r>
    <x v="1"/>
    <x v="45"/>
    <x v="2"/>
    <n v="0"/>
    <x v="1"/>
    <n v="0"/>
    <n v="0"/>
    <n v="0.27684999999999998"/>
    <n v="0"/>
    <n v="0.27684999999999998"/>
  </r>
  <r>
    <x v="2"/>
    <x v="3"/>
    <x v="2"/>
    <n v="0.27126800000000001"/>
    <x v="19"/>
    <n v="8.3129999999999992E-3"/>
    <n v="5.1262000000000002E-2"/>
    <n v="6.3450000000000006E-2"/>
    <n v="10.812174000000001"/>
    <n v="15.603818"/>
  </r>
  <r>
    <x v="1"/>
    <x v="4"/>
    <x v="2"/>
    <n v="0"/>
    <x v="1"/>
    <n v="0"/>
    <n v="0"/>
    <n v="0.24257600000000001"/>
    <n v="0"/>
    <n v="0.24257600000000001"/>
  </r>
  <r>
    <x v="0"/>
    <x v="5"/>
    <x v="2"/>
    <n v="0"/>
    <x v="1"/>
    <n v="0"/>
    <n v="0"/>
    <n v="31.354571"/>
    <n v="0"/>
    <n v="31.354571"/>
  </r>
  <r>
    <x v="0"/>
    <x v="8"/>
    <x v="2"/>
    <n v="0"/>
    <x v="1"/>
    <n v="0"/>
    <n v="178.32576599999999"/>
    <n v="197.464437"/>
    <n v="0"/>
    <n v="375.79020300000002"/>
  </r>
  <r>
    <x v="3"/>
    <x v="10"/>
    <x v="2"/>
    <n v="0"/>
    <x v="20"/>
    <n v="0"/>
    <n v="0"/>
    <n v="0"/>
    <n v="1.320757"/>
    <n v="2.2717909999999999"/>
  </r>
  <r>
    <x v="1"/>
    <x v="11"/>
    <x v="2"/>
    <n v="0"/>
    <x v="1"/>
    <n v="0"/>
    <n v="0"/>
    <n v="0.30026199999999997"/>
    <n v="0"/>
    <n v="0.30026199999999997"/>
  </r>
  <r>
    <x v="0"/>
    <x v="46"/>
    <x v="2"/>
    <n v="0"/>
    <x v="1"/>
    <n v="0"/>
    <n v="0"/>
    <n v="2.0452910000000002"/>
    <n v="0"/>
    <n v="2.0452910000000002"/>
  </r>
  <r>
    <x v="1"/>
    <x v="16"/>
    <x v="2"/>
    <n v="0"/>
    <x v="1"/>
    <n v="0"/>
    <n v="0"/>
    <n v="8.5104330000000008"/>
    <n v="0"/>
    <n v="8.5104330000000008"/>
  </r>
  <r>
    <x v="3"/>
    <x v="19"/>
    <x v="2"/>
    <n v="5.5031999999999998E-2"/>
    <x v="21"/>
    <n v="0.13947999999999999"/>
    <n v="8.5242690000000003"/>
    <n v="0.50540700000000005"/>
    <n v="52.121848999999997"/>
    <n v="76.012637999999995"/>
  </r>
  <r>
    <x v="2"/>
    <x v="27"/>
    <x v="2"/>
    <n v="51.612793000000003"/>
    <x v="22"/>
    <n v="45.084344999999999"/>
    <n v="1423.432442"/>
    <n v="69.205557999999996"/>
    <n v="1944.906763"/>
    <n v="4206.3280119999999"/>
  </r>
  <r>
    <x v="3"/>
    <x v="28"/>
    <x v="2"/>
    <n v="7.7899999999999996E-4"/>
    <x v="23"/>
    <n v="3.3812000000000002E-2"/>
    <n v="4.406199"/>
    <n v="3.8296999999999998E-2"/>
    <n v="14.879867000000001"/>
    <n v="32.998097000000001"/>
  </r>
  <r>
    <x v="1"/>
    <x v="47"/>
    <x v="2"/>
    <n v="0"/>
    <x v="1"/>
    <n v="0"/>
    <n v="0"/>
    <n v="0.226322"/>
    <n v="0"/>
    <n v="0.226322"/>
  </r>
  <r>
    <x v="1"/>
    <x v="44"/>
    <x v="2"/>
    <n v="0"/>
    <x v="1"/>
    <n v="0"/>
    <n v="0"/>
    <n v="0.45132899999999998"/>
    <n v="0"/>
    <n v="0.45132899999999998"/>
  </r>
  <r>
    <x v="2"/>
    <x v="32"/>
    <x v="2"/>
    <n v="7.1525259999999999"/>
    <x v="24"/>
    <n v="16.089960999999999"/>
    <n v="37.402030000000003"/>
    <n v="5.3482719999999997"/>
    <n v="313.66293100000001"/>
    <n v="499.87807299999997"/>
  </r>
  <r>
    <x v="2"/>
    <x v="34"/>
    <x v="2"/>
    <n v="51.518180999999998"/>
    <x v="25"/>
    <n v="67.804311999999996"/>
    <n v="951.67853700000001"/>
    <n v="761.909986"/>
    <n v="2588.3147429999999"/>
    <n v="5145.6613550000002"/>
  </r>
  <r>
    <x v="1"/>
    <x v="35"/>
    <x v="2"/>
    <n v="0"/>
    <x v="1"/>
    <n v="0"/>
    <n v="0"/>
    <n v="28.476284"/>
    <n v="0"/>
    <n v="28.476284"/>
  </r>
  <r>
    <x v="1"/>
    <x v="38"/>
    <x v="2"/>
    <n v="0"/>
    <x v="1"/>
    <n v="0"/>
    <n v="0"/>
    <n v="3.0091600000000001"/>
    <n v="0"/>
    <n v="3.0091600000000001"/>
  </r>
  <r>
    <x v="1"/>
    <x v="40"/>
    <x v="2"/>
    <n v="0"/>
    <x v="26"/>
    <n v="0"/>
    <n v="26.625129000000001"/>
    <n v="0"/>
    <n v="0"/>
    <n v="34.604885000000003"/>
  </r>
  <r>
    <x v="1"/>
    <x v="41"/>
    <x v="2"/>
    <n v="0"/>
    <x v="1"/>
    <n v="0"/>
    <n v="3.900366"/>
    <n v="0"/>
    <n v="0"/>
    <n v="3.900366"/>
  </r>
  <r>
    <x v="1"/>
    <x v="45"/>
    <x v="3"/>
    <n v="0"/>
    <x v="1"/>
    <n v="0"/>
    <n v="0"/>
    <n v="0.26873200000000003"/>
    <n v="0"/>
    <n v="0.26873200000000003"/>
  </r>
  <r>
    <x v="2"/>
    <x v="3"/>
    <x v="3"/>
    <n v="0.21367800000000001"/>
    <x v="27"/>
    <n v="8.6840000000000007E-3"/>
    <n v="6.9260000000000002E-2"/>
    <n v="9.0162000000000006E-2"/>
    <n v="12.818661000000001"/>
    <n v="17.499927"/>
  </r>
  <r>
    <x v="1"/>
    <x v="4"/>
    <x v="3"/>
    <n v="0"/>
    <x v="1"/>
    <n v="0"/>
    <n v="0"/>
    <n v="0.79735299999999998"/>
    <n v="0"/>
    <n v="0.79735299999999998"/>
  </r>
  <r>
    <x v="0"/>
    <x v="8"/>
    <x v="3"/>
    <n v="0"/>
    <x v="1"/>
    <n v="0"/>
    <n v="119.2627"/>
    <n v="182.56690800000001"/>
    <n v="0"/>
    <n v="301.82960800000001"/>
  </r>
  <r>
    <x v="3"/>
    <x v="10"/>
    <x v="3"/>
    <n v="0"/>
    <x v="28"/>
    <n v="0"/>
    <n v="0"/>
    <n v="0"/>
    <n v="0.97036500000000003"/>
    <n v="2.2934800000000002"/>
  </r>
  <r>
    <x v="1"/>
    <x v="11"/>
    <x v="3"/>
    <n v="0"/>
    <x v="1"/>
    <n v="0"/>
    <n v="0"/>
    <n v="0.23421400000000001"/>
    <n v="0"/>
    <n v="0.23421400000000001"/>
  </r>
  <r>
    <x v="0"/>
    <x v="46"/>
    <x v="3"/>
    <n v="0"/>
    <x v="1"/>
    <n v="0"/>
    <n v="0"/>
    <n v="1.222248"/>
    <n v="0"/>
    <n v="1.222248"/>
  </r>
  <r>
    <x v="1"/>
    <x v="16"/>
    <x v="3"/>
    <n v="0"/>
    <x v="1"/>
    <n v="0"/>
    <n v="0"/>
    <n v="7.3165339999999999"/>
    <n v="0"/>
    <n v="7.3165339999999999"/>
  </r>
  <r>
    <x v="3"/>
    <x v="19"/>
    <x v="3"/>
    <n v="8.2375000000000004E-2"/>
    <x v="29"/>
    <n v="0.17200099999999999"/>
    <n v="11.919072999999999"/>
    <n v="3.0054219999999998"/>
    <n v="51.795760999999999"/>
    <n v="89.687980999999994"/>
  </r>
  <r>
    <x v="2"/>
    <x v="27"/>
    <x v="3"/>
    <n v="59.209961"/>
    <x v="30"/>
    <n v="45.895071000000002"/>
    <n v="1485.8626979999999"/>
    <n v="72.923337000000004"/>
    <n v="2107.687277"/>
    <n v="4472.0115429999996"/>
  </r>
  <r>
    <x v="3"/>
    <x v="28"/>
    <x v="3"/>
    <n v="5.4199999999999995E-4"/>
    <x v="31"/>
    <n v="6.4404000000000003E-2"/>
    <n v="4.6268089999999997"/>
    <n v="3.6513999999999998E-2"/>
    <n v="15.464797000000001"/>
    <n v="35.075259000000003"/>
  </r>
  <r>
    <x v="1"/>
    <x v="47"/>
    <x v="3"/>
    <n v="0"/>
    <x v="1"/>
    <n v="0"/>
    <n v="0"/>
    <n v="1.3115490000000001"/>
    <n v="0"/>
    <n v="1.3115490000000001"/>
  </r>
  <r>
    <x v="1"/>
    <x v="44"/>
    <x v="3"/>
    <n v="0"/>
    <x v="1"/>
    <n v="0"/>
    <n v="0"/>
    <n v="0.23666400000000001"/>
    <n v="0"/>
    <n v="0.23666400000000001"/>
  </r>
  <r>
    <x v="2"/>
    <x v="32"/>
    <x v="3"/>
    <n v="8.3182770000000001"/>
    <x v="32"/>
    <n v="18.627407999999999"/>
    <n v="32.881846000000003"/>
    <n v="3.6648100000000001"/>
    <n v="327.05325199999999"/>
    <n v="499.795028"/>
  </r>
  <r>
    <x v="2"/>
    <x v="34"/>
    <x v="3"/>
    <n v="47.796039"/>
    <x v="33"/>
    <n v="56.299388"/>
    <n v="1004.075301"/>
    <n v="503.05881499999998"/>
    <n v="2565.1872290000001"/>
    <n v="4917.2273169999999"/>
  </r>
  <r>
    <x v="1"/>
    <x v="35"/>
    <x v="3"/>
    <n v="0"/>
    <x v="1"/>
    <n v="0"/>
    <n v="0"/>
    <n v="25.471093"/>
    <n v="0"/>
    <n v="25.471093"/>
  </r>
  <r>
    <x v="1"/>
    <x v="38"/>
    <x v="3"/>
    <n v="0"/>
    <x v="1"/>
    <n v="0"/>
    <n v="0"/>
    <n v="3.1169920000000002"/>
    <n v="0"/>
    <n v="3.1169920000000002"/>
  </r>
  <r>
    <x v="1"/>
    <x v="40"/>
    <x v="3"/>
    <n v="0"/>
    <x v="1"/>
    <n v="0"/>
    <n v="0"/>
    <n v="15.722182"/>
    <n v="0"/>
    <n v="15.722182"/>
  </r>
  <r>
    <x v="1"/>
    <x v="41"/>
    <x v="3"/>
    <n v="0"/>
    <x v="1"/>
    <n v="0"/>
    <n v="4.1409000000000002"/>
    <n v="0"/>
    <n v="0"/>
    <n v="4.1409000000000002"/>
  </r>
  <r>
    <x v="1"/>
    <x v="48"/>
    <x v="3"/>
    <n v="0"/>
    <x v="1"/>
    <n v="0"/>
    <n v="0"/>
    <n v="5.7309330000000003"/>
    <n v="0"/>
    <n v="5.7309330000000003"/>
  </r>
  <r>
    <x v="1"/>
    <x v="45"/>
    <x v="4"/>
    <n v="0"/>
    <x v="1"/>
    <n v="0"/>
    <n v="0"/>
    <n v="0.14294100000000001"/>
    <n v="0"/>
    <n v="0.14294100000000001"/>
  </r>
  <r>
    <x v="2"/>
    <x v="3"/>
    <x v="4"/>
    <n v="0.19422700000000001"/>
    <x v="34"/>
    <n v="7.1320000000000003E-3"/>
    <n v="3.619E-2"/>
    <n v="9.5603999999999995E-2"/>
    <n v="12.174947"/>
    <n v="18.714993"/>
  </r>
  <r>
    <x v="1"/>
    <x v="4"/>
    <x v="4"/>
    <n v="0"/>
    <x v="1"/>
    <n v="0"/>
    <n v="0"/>
    <n v="4.8584560000000003"/>
    <n v="0"/>
    <n v="4.8584560000000003"/>
  </r>
  <r>
    <x v="0"/>
    <x v="5"/>
    <x v="4"/>
    <n v="0"/>
    <x v="1"/>
    <n v="0"/>
    <n v="0"/>
    <n v="34.203344999999999"/>
    <n v="0"/>
    <n v="34.203344999999999"/>
  </r>
  <r>
    <x v="0"/>
    <x v="8"/>
    <x v="4"/>
    <n v="0"/>
    <x v="1"/>
    <n v="0"/>
    <n v="124.820999"/>
    <n v="98.179047999999995"/>
    <n v="0"/>
    <n v="223.000047"/>
  </r>
  <r>
    <x v="3"/>
    <x v="10"/>
    <x v="4"/>
    <n v="0"/>
    <x v="35"/>
    <n v="0"/>
    <n v="0"/>
    <n v="0"/>
    <n v="1.345046"/>
    <n v="5.134735"/>
  </r>
  <r>
    <x v="1"/>
    <x v="11"/>
    <x v="4"/>
    <n v="0"/>
    <x v="1"/>
    <n v="0"/>
    <n v="0"/>
    <n v="0.26584000000000002"/>
    <n v="0"/>
    <n v="0.26584000000000002"/>
  </r>
  <r>
    <x v="1"/>
    <x v="49"/>
    <x v="4"/>
    <n v="0"/>
    <x v="1"/>
    <n v="0"/>
    <n v="0"/>
    <n v="2.0428999999999999E-2"/>
    <n v="0"/>
    <n v="2.0428999999999999E-2"/>
  </r>
  <r>
    <x v="0"/>
    <x v="46"/>
    <x v="4"/>
    <n v="0"/>
    <x v="1"/>
    <n v="0"/>
    <n v="0"/>
    <n v="2.3026930000000001"/>
    <n v="0"/>
    <n v="2.3026930000000001"/>
  </r>
  <r>
    <x v="1"/>
    <x v="16"/>
    <x v="4"/>
    <n v="0"/>
    <x v="1"/>
    <n v="0"/>
    <n v="0"/>
    <n v="6.7780009999999997"/>
    <n v="0"/>
    <n v="6.7780009999999997"/>
  </r>
  <r>
    <x v="3"/>
    <x v="19"/>
    <x v="4"/>
    <n v="9.9287E-2"/>
    <x v="36"/>
    <n v="0.124892"/>
    <n v="14.161077000000001"/>
    <n v="1.9426270000000001"/>
    <n v="54.796185999999999"/>
    <n v="96.315639000000004"/>
  </r>
  <r>
    <x v="2"/>
    <x v="27"/>
    <x v="4"/>
    <n v="54.475121999999999"/>
    <x v="37"/>
    <n v="45.474400000000003"/>
    <n v="1509.9429279999999"/>
    <n v="62.881276999999997"/>
    <n v="2154.249894"/>
    <n v="4594.3484639999997"/>
  </r>
  <r>
    <x v="3"/>
    <x v="28"/>
    <x v="4"/>
    <n v="6.8900000000000005E-4"/>
    <x v="38"/>
    <n v="6.8194000000000005E-2"/>
    <n v="4.5963510000000003"/>
    <n v="3.6289000000000002E-2"/>
    <n v="17.021424"/>
    <n v="37.930512"/>
  </r>
  <r>
    <x v="1"/>
    <x v="47"/>
    <x v="4"/>
    <n v="0"/>
    <x v="1"/>
    <n v="0"/>
    <n v="0"/>
    <n v="1.184809"/>
    <n v="0"/>
    <n v="1.184809"/>
  </r>
  <r>
    <x v="2"/>
    <x v="32"/>
    <x v="4"/>
    <n v="6.1489349999999998"/>
    <x v="39"/>
    <n v="19.990824"/>
    <n v="36.180987000000002"/>
    <n v="3.6461139999999999"/>
    <n v="343.816395"/>
    <n v="539.35995400000002"/>
  </r>
  <r>
    <x v="2"/>
    <x v="34"/>
    <x v="4"/>
    <n v="56.357881999999996"/>
    <x v="40"/>
    <n v="55.197733999999997"/>
    <n v="1071.316558"/>
    <n v="403.01429999999999"/>
    <n v="2611.052146"/>
    <n v="4931.5286720000004"/>
  </r>
  <r>
    <x v="1"/>
    <x v="35"/>
    <x v="4"/>
    <n v="0"/>
    <x v="1"/>
    <n v="0"/>
    <n v="0"/>
    <n v="24.958724"/>
    <n v="0"/>
    <n v="24.958724"/>
  </r>
  <r>
    <x v="1"/>
    <x v="38"/>
    <x v="4"/>
    <n v="0"/>
    <x v="1"/>
    <n v="0"/>
    <n v="0"/>
    <n v="3.0320580000000001"/>
    <n v="0"/>
    <n v="3.0320580000000001"/>
  </r>
  <r>
    <x v="1"/>
    <x v="40"/>
    <x v="4"/>
    <n v="0"/>
    <x v="1"/>
    <n v="0"/>
    <n v="0"/>
    <n v="12.094894999999999"/>
    <n v="0"/>
    <n v="12.094894999999999"/>
  </r>
  <r>
    <x v="1"/>
    <x v="41"/>
    <x v="4"/>
    <n v="0"/>
    <x v="1"/>
    <n v="0"/>
    <n v="4.7605199999999996"/>
    <n v="0"/>
    <n v="0"/>
    <n v="4.7605199999999996"/>
  </r>
  <r>
    <x v="1"/>
    <x v="48"/>
    <x v="4"/>
    <n v="0"/>
    <x v="1"/>
    <n v="0"/>
    <n v="0"/>
    <n v="6.0054559999999997"/>
    <n v="0"/>
    <n v="6.0054559999999997"/>
  </r>
  <r>
    <x v="1"/>
    <x v="1"/>
    <x v="5"/>
    <n v="0"/>
    <x v="1"/>
    <n v="0"/>
    <n v="0"/>
    <n v="6.2587229999999998"/>
    <n v="0"/>
    <n v="6.2587229999999998"/>
  </r>
  <r>
    <x v="1"/>
    <x v="45"/>
    <x v="5"/>
    <n v="0"/>
    <x v="1"/>
    <n v="0"/>
    <n v="0"/>
    <n v="0.19068099999999999"/>
    <n v="0"/>
    <n v="0.19068099999999999"/>
  </r>
  <r>
    <x v="2"/>
    <x v="3"/>
    <x v="5"/>
    <n v="0"/>
    <x v="41"/>
    <n v="0"/>
    <n v="0"/>
    <n v="0"/>
    <n v="70.652122000000006"/>
    <n v="75.984945999999994"/>
  </r>
  <r>
    <x v="1"/>
    <x v="4"/>
    <x v="5"/>
    <n v="0"/>
    <x v="1"/>
    <n v="0"/>
    <n v="0"/>
    <n v="3.7509450000000002"/>
    <n v="0"/>
    <n v="3.7509450000000002"/>
  </r>
  <r>
    <x v="0"/>
    <x v="8"/>
    <x v="5"/>
    <n v="0"/>
    <x v="1"/>
    <n v="0"/>
    <n v="80.017324000000002"/>
    <n v="14.427129000000001"/>
    <n v="0"/>
    <n v="94.444452999999996"/>
  </r>
  <r>
    <x v="3"/>
    <x v="10"/>
    <x v="5"/>
    <n v="0"/>
    <x v="42"/>
    <n v="0"/>
    <n v="0"/>
    <n v="0"/>
    <n v="1.646441"/>
    <n v="7.1118110000000003"/>
  </r>
  <r>
    <x v="1"/>
    <x v="11"/>
    <x v="5"/>
    <n v="0"/>
    <x v="1"/>
    <n v="0"/>
    <n v="0"/>
    <n v="0.36662499999999998"/>
    <n v="0"/>
    <n v="0.36662499999999998"/>
  </r>
  <r>
    <x v="1"/>
    <x v="49"/>
    <x v="5"/>
    <n v="0"/>
    <x v="1"/>
    <n v="0"/>
    <n v="0"/>
    <n v="4.5170000000000002E-3"/>
    <n v="0"/>
    <n v="4.5170000000000002E-3"/>
  </r>
  <r>
    <x v="0"/>
    <x v="46"/>
    <x v="5"/>
    <n v="0"/>
    <x v="1"/>
    <n v="0"/>
    <n v="0"/>
    <n v="1.952971"/>
    <n v="0"/>
    <n v="1.952971"/>
  </r>
  <r>
    <x v="1"/>
    <x v="16"/>
    <x v="5"/>
    <n v="0"/>
    <x v="1"/>
    <n v="0"/>
    <n v="0"/>
    <n v="6.7478360000000004"/>
    <n v="0"/>
    <n v="6.7478360000000004"/>
  </r>
  <r>
    <x v="3"/>
    <x v="19"/>
    <x v="5"/>
    <n v="6.8731E-2"/>
    <x v="43"/>
    <n v="0.20200499999999999"/>
    <n v="13.407895999999999"/>
    <n v="0.32521299999999997"/>
    <n v="48.558042"/>
    <n v="86.650694999999999"/>
  </r>
  <r>
    <x v="2"/>
    <x v="27"/>
    <x v="5"/>
    <n v="48.093248000000003"/>
    <x v="44"/>
    <n v="37.671410999999999"/>
    <n v="1679.8988690000001"/>
    <n v="64.848316999999994"/>
    <n v="1942.7478880000001"/>
    <n v="4489.946191"/>
  </r>
  <r>
    <x v="3"/>
    <x v="28"/>
    <x v="5"/>
    <n v="7.6400000000000003E-4"/>
    <x v="45"/>
    <n v="7.2824E-2"/>
    <n v="4.0953099999999996"/>
    <n v="1.140344"/>
    <n v="14.438094"/>
    <n v="35.051121999999999"/>
  </r>
  <r>
    <x v="1"/>
    <x v="47"/>
    <x v="5"/>
    <n v="0"/>
    <x v="1"/>
    <n v="0"/>
    <n v="0"/>
    <n v="0.97683399999999998"/>
    <n v="0"/>
    <n v="0.97683399999999998"/>
  </r>
  <r>
    <x v="2"/>
    <x v="32"/>
    <x v="5"/>
    <n v="6.4269800000000004"/>
    <x v="46"/>
    <n v="21.225959"/>
    <n v="36.995587999999998"/>
    <n v="3.2117629999999999"/>
    <n v="316.19314900000001"/>
    <n v="514.67817600000001"/>
  </r>
  <r>
    <x v="2"/>
    <x v="34"/>
    <x v="5"/>
    <n v="51.522362000000001"/>
    <x v="47"/>
    <n v="87.919120000000007"/>
    <n v="1041.7938610000001"/>
    <n v="382.85009400000001"/>
    <n v="2410.5864390000002"/>
    <n v="4668.2796950000002"/>
  </r>
  <r>
    <x v="1"/>
    <x v="35"/>
    <x v="5"/>
    <n v="0"/>
    <x v="1"/>
    <n v="0"/>
    <n v="0"/>
    <n v="25.763717"/>
    <n v="0"/>
    <n v="25.763717"/>
  </r>
  <r>
    <x v="1"/>
    <x v="38"/>
    <x v="5"/>
    <n v="0"/>
    <x v="1"/>
    <n v="0"/>
    <n v="0"/>
    <n v="2.9926729999999999"/>
    <n v="0"/>
    <n v="2.9926729999999999"/>
  </r>
  <r>
    <x v="1"/>
    <x v="40"/>
    <x v="5"/>
    <n v="0"/>
    <x v="1"/>
    <n v="0"/>
    <n v="0"/>
    <n v="11.905085"/>
    <n v="0"/>
    <n v="11.905085"/>
  </r>
  <r>
    <x v="1"/>
    <x v="41"/>
    <x v="5"/>
    <n v="0"/>
    <x v="1"/>
    <n v="0"/>
    <n v="2.2530039999999998"/>
    <n v="0"/>
    <n v="0"/>
    <n v="2.2530039999999998"/>
  </r>
  <r>
    <x v="1"/>
    <x v="48"/>
    <x v="5"/>
    <n v="0"/>
    <x v="1"/>
    <n v="0"/>
    <n v="0"/>
    <n v="4.7601319999999996"/>
    <n v="0"/>
    <n v="4.7601319999999996"/>
  </r>
  <r>
    <x v="1"/>
    <x v="1"/>
    <x v="6"/>
    <n v="0"/>
    <x v="1"/>
    <n v="0"/>
    <n v="0"/>
    <n v="7.5369989999999998"/>
    <n v="0"/>
    <n v="7.5369989999999998"/>
  </r>
  <r>
    <x v="1"/>
    <x v="45"/>
    <x v="6"/>
    <n v="0"/>
    <x v="1"/>
    <n v="0"/>
    <n v="0"/>
    <n v="9.7752000000000006E-2"/>
    <n v="0"/>
    <n v="9.7752000000000006E-2"/>
  </r>
  <r>
    <x v="2"/>
    <x v="3"/>
    <x v="6"/>
    <n v="0"/>
    <x v="48"/>
    <n v="0"/>
    <n v="0"/>
    <n v="0"/>
    <n v="70.127961999999997"/>
    <n v="77.539652000000004"/>
  </r>
  <r>
    <x v="1"/>
    <x v="4"/>
    <x v="6"/>
    <n v="0"/>
    <x v="1"/>
    <n v="0"/>
    <n v="0"/>
    <n v="4.5236530000000004"/>
    <n v="0"/>
    <n v="4.5236530000000004"/>
  </r>
  <r>
    <x v="0"/>
    <x v="8"/>
    <x v="6"/>
    <n v="0"/>
    <x v="1"/>
    <n v="0"/>
    <n v="4.7863030000000002"/>
    <n v="0"/>
    <n v="0"/>
    <n v="4.7863030000000002"/>
  </r>
  <r>
    <x v="3"/>
    <x v="10"/>
    <x v="6"/>
    <n v="0"/>
    <x v="49"/>
    <n v="0"/>
    <n v="0"/>
    <n v="0"/>
    <n v="1.1928380000000001"/>
    <n v="9.2849090000000007"/>
  </r>
  <r>
    <x v="1"/>
    <x v="11"/>
    <x v="6"/>
    <n v="0"/>
    <x v="1"/>
    <n v="0"/>
    <n v="0"/>
    <n v="0.18682499999999999"/>
    <n v="0"/>
    <n v="0.18682499999999999"/>
  </r>
  <r>
    <x v="1"/>
    <x v="49"/>
    <x v="6"/>
    <n v="0"/>
    <x v="1"/>
    <n v="0"/>
    <n v="0"/>
    <n v="10.267099999999999"/>
    <n v="0"/>
    <n v="10.267099999999999"/>
  </r>
  <r>
    <x v="0"/>
    <x v="46"/>
    <x v="6"/>
    <n v="0"/>
    <x v="1"/>
    <n v="0"/>
    <n v="0"/>
    <n v="1.8203659999999999"/>
    <n v="0"/>
    <n v="1.8203659999999999"/>
  </r>
  <r>
    <x v="1"/>
    <x v="16"/>
    <x v="6"/>
    <n v="0"/>
    <x v="1"/>
    <n v="0"/>
    <n v="0"/>
    <n v="7.5474040000000002"/>
    <n v="0"/>
    <n v="7.5474040000000002"/>
  </r>
  <r>
    <x v="3"/>
    <x v="19"/>
    <x v="6"/>
    <n v="6.0566000000000002E-2"/>
    <x v="50"/>
    <n v="0.39539200000000002"/>
    <n v="17.438089999999999"/>
    <n v="0.29918800000000001"/>
    <n v="48.598005999999998"/>
    <n v="92.329229999999995"/>
  </r>
  <r>
    <x v="1"/>
    <x v="50"/>
    <x v="6"/>
    <n v="0"/>
    <x v="1"/>
    <n v="0"/>
    <n v="1.3700110000000001"/>
    <n v="0"/>
    <n v="0"/>
    <n v="1.3700110000000001"/>
  </r>
  <r>
    <x v="1"/>
    <x v="51"/>
    <x v="6"/>
    <n v="0"/>
    <x v="1"/>
    <n v="0"/>
    <n v="30.609418999999999"/>
    <n v="22.846893999999999"/>
    <n v="0"/>
    <n v="53.456313000000002"/>
  </r>
  <r>
    <x v="2"/>
    <x v="27"/>
    <x v="6"/>
    <n v="54.345756000000002"/>
    <x v="51"/>
    <n v="42.954174999999999"/>
    <n v="1831.916635"/>
    <n v="35.444684000000002"/>
    <n v="1957.774142"/>
    <n v="4635.9953150000001"/>
  </r>
  <r>
    <x v="3"/>
    <x v="28"/>
    <x v="6"/>
    <n v="9.2599999999999996E-4"/>
    <x v="52"/>
    <n v="7.6849000000000001E-2"/>
    <n v="4.1454110000000002"/>
    <n v="4.8311E-2"/>
    <n v="14.522451"/>
    <n v="34.152498999999999"/>
  </r>
  <r>
    <x v="1"/>
    <x v="47"/>
    <x v="6"/>
    <n v="0"/>
    <x v="1"/>
    <n v="0"/>
    <n v="0"/>
    <n v="0.55259100000000005"/>
    <n v="0"/>
    <n v="0.55259100000000005"/>
  </r>
  <r>
    <x v="2"/>
    <x v="32"/>
    <x v="6"/>
    <n v="8.0248899999999992"/>
    <x v="53"/>
    <n v="19.167657999999999"/>
    <n v="35.462285000000001"/>
    <n v="2.4120720000000002"/>
    <n v="317.043317"/>
    <n v="508.77165200000002"/>
  </r>
  <r>
    <x v="2"/>
    <x v="34"/>
    <x v="6"/>
    <n v="58.417149000000002"/>
    <x v="54"/>
    <n v="111.278847"/>
    <n v="1503.418999"/>
    <n v="453.671783"/>
    <n v="2433.092666"/>
    <n v="5296.1066989999999"/>
  </r>
  <r>
    <x v="1"/>
    <x v="35"/>
    <x v="6"/>
    <n v="0"/>
    <x v="1"/>
    <n v="0"/>
    <n v="0"/>
    <n v="26.699542000000001"/>
    <n v="0"/>
    <n v="26.699542000000001"/>
  </r>
  <r>
    <x v="1"/>
    <x v="38"/>
    <x v="6"/>
    <n v="0"/>
    <x v="1"/>
    <n v="0"/>
    <n v="0"/>
    <n v="3.9811939999999999"/>
    <n v="0"/>
    <n v="3.9811939999999999"/>
  </r>
  <r>
    <x v="1"/>
    <x v="40"/>
    <x v="6"/>
    <n v="0"/>
    <x v="1"/>
    <n v="0"/>
    <n v="0"/>
    <n v="2.1420560000000002"/>
    <n v="0"/>
    <n v="2.1420560000000002"/>
  </r>
  <r>
    <x v="1"/>
    <x v="41"/>
    <x v="6"/>
    <n v="0"/>
    <x v="1"/>
    <n v="0"/>
    <n v="1.8064979999999999"/>
    <n v="0"/>
    <n v="0"/>
    <n v="1.8064979999999999"/>
  </r>
  <r>
    <x v="0"/>
    <x v="0"/>
    <x v="7"/>
    <n v="0"/>
    <x v="1"/>
    <n v="0"/>
    <n v="0"/>
    <n v="326.00732799999997"/>
    <n v="0"/>
    <n v="326.00732799999997"/>
  </r>
  <r>
    <x v="1"/>
    <x v="45"/>
    <x v="7"/>
    <n v="0"/>
    <x v="1"/>
    <n v="0"/>
    <n v="0"/>
    <n v="5.3010000000000002E-2"/>
    <n v="0"/>
    <n v="5.3010000000000002E-2"/>
  </r>
  <r>
    <x v="2"/>
    <x v="3"/>
    <x v="7"/>
    <n v="0"/>
    <x v="55"/>
    <n v="1.3798E-2"/>
    <n v="0"/>
    <n v="0"/>
    <n v="76.066905000000006"/>
    <n v="81.739435999999998"/>
  </r>
  <r>
    <x v="1"/>
    <x v="4"/>
    <x v="7"/>
    <n v="0"/>
    <x v="1"/>
    <n v="0"/>
    <n v="0"/>
    <n v="4.0282200000000001"/>
    <n v="0"/>
    <n v="4.0282200000000001"/>
  </r>
  <r>
    <x v="3"/>
    <x v="10"/>
    <x v="7"/>
    <n v="0"/>
    <x v="56"/>
    <n v="0"/>
    <n v="0"/>
    <n v="0"/>
    <n v="1.067264"/>
    <n v="1.688407"/>
  </r>
  <r>
    <x v="1"/>
    <x v="49"/>
    <x v="7"/>
    <n v="0"/>
    <x v="1"/>
    <n v="0"/>
    <n v="0"/>
    <n v="15.877101"/>
    <n v="0"/>
    <n v="15.877101"/>
  </r>
  <r>
    <x v="0"/>
    <x v="46"/>
    <x v="7"/>
    <n v="0"/>
    <x v="1"/>
    <n v="0"/>
    <n v="0"/>
    <n v="1.500372"/>
    <n v="0"/>
    <n v="1.500372"/>
  </r>
  <r>
    <x v="1"/>
    <x v="52"/>
    <x v="7"/>
    <n v="0"/>
    <x v="1"/>
    <n v="0"/>
    <n v="9.9254700000000007"/>
    <n v="0.160273"/>
    <n v="0"/>
    <n v="10.085743000000001"/>
  </r>
  <r>
    <x v="1"/>
    <x v="16"/>
    <x v="7"/>
    <n v="0"/>
    <x v="1"/>
    <n v="0"/>
    <n v="0"/>
    <n v="7.3778189999999997"/>
    <n v="0"/>
    <n v="7.3778189999999997"/>
  </r>
  <r>
    <x v="3"/>
    <x v="19"/>
    <x v="7"/>
    <n v="0.19331799999999999"/>
    <x v="57"/>
    <n v="1.34907"/>
    <n v="15.610968"/>
    <n v="0.25619599999999998"/>
    <n v="46.575612"/>
    <n v="92.711933000000002"/>
  </r>
  <r>
    <x v="2"/>
    <x v="27"/>
    <x v="7"/>
    <n v="54.741382999999999"/>
    <x v="58"/>
    <n v="47.129958999999999"/>
    <n v="1885.2718600000001"/>
    <n v="17.645710000000001"/>
    <n v="1960.534257"/>
    <n v="4690.3422879999998"/>
  </r>
  <r>
    <x v="3"/>
    <x v="28"/>
    <x v="7"/>
    <n v="4.0480000000000004E-3"/>
    <x v="59"/>
    <n v="0.37839400000000001"/>
    <n v="4.1208499999999999"/>
    <n v="3.9237000000000001E-2"/>
    <n v="14.47964"/>
    <n v="34.278123000000001"/>
  </r>
  <r>
    <x v="0"/>
    <x v="53"/>
    <x v="7"/>
    <n v="0"/>
    <x v="1"/>
    <n v="0"/>
    <n v="3.5635659999999998"/>
    <n v="0"/>
    <n v="0"/>
    <n v="3.5635659999999998"/>
  </r>
  <r>
    <x v="1"/>
    <x v="54"/>
    <x v="7"/>
    <n v="0"/>
    <x v="1"/>
    <n v="0"/>
    <n v="6.5823729999999996"/>
    <n v="0"/>
    <n v="0"/>
    <n v="6.5823729999999996"/>
  </r>
  <r>
    <x v="2"/>
    <x v="32"/>
    <x v="7"/>
    <n v="8.5344320000000007"/>
    <x v="60"/>
    <n v="17.573042000000001"/>
    <n v="36.964056999999997"/>
    <n v="1.74718"/>
    <n v="311.53760999999997"/>
    <n v="505.69036299999999"/>
  </r>
  <r>
    <x v="1"/>
    <x v="33"/>
    <x v="7"/>
    <n v="0"/>
    <x v="1"/>
    <n v="0"/>
    <n v="0"/>
    <n v="2.2131439999999998"/>
    <n v="0"/>
    <n v="2.2131439999999998"/>
  </r>
  <r>
    <x v="2"/>
    <x v="34"/>
    <x v="7"/>
    <n v="65.316205999999994"/>
    <x v="61"/>
    <n v="92.314482999999996"/>
    <n v="1471.9392270000001"/>
    <n v="459.65597700000001"/>
    <n v="2394.4734440000002"/>
    <n v="5208.2710280000001"/>
  </r>
  <r>
    <x v="1"/>
    <x v="55"/>
    <x v="7"/>
    <n v="0"/>
    <x v="1"/>
    <n v="0"/>
    <n v="12.484327"/>
    <n v="0"/>
    <n v="0"/>
    <n v="12.484327"/>
  </r>
  <r>
    <x v="1"/>
    <x v="56"/>
    <x v="7"/>
    <n v="0"/>
    <x v="1"/>
    <n v="0"/>
    <n v="0"/>
    <n v="3.367165"/>
    <n v="0"/>
    <n v="3.367165"/>
  </r>
  <r>
    <x v="1"/>
    <x v="35"/>
    <x v="7"/>
    <n v="0"/>
    <x v="1"/>
    <n v="0"/>
    <n v="0"/>
    <n v="40.787545000000001"/>
    <n v="0"/>
    <n v="40.787545000000001"/>
  </r>
  <r>
    <x v="1"/>
    <x v="38"/>
    <x v="7"/>
    <n v="0"/>
    <x v="1"/>
    <n v="0"/>
    <n v="0"/>
    <n v="5.146738"/>
    <n v="0"/>
    <n v="5.146738"/>
  </r>
  <r>
    <x v="1"/>
    <x v="57"/>
    <x v="7"/>
    <n v="0"/>
    <x v="1"/>
    <n v="0"/>
    <n v="0.63753499999999996"/>
    <n v="0"/>
    <n v="0"/>
    <n v="0.63753499999999996"/>
  </r>
  <r>
    <x v="1"/>
    <x v="58"/>
    <x v="7"/>
    <n v="0"/>
    <x v="1"/>
    <n v="0"/>
    <n v="0"/>
    <n v="0.52848799999999996"/>
    <n v="0"/>
    <n v="0.52848799999999996"/>
  </r>
  <r>
    <x v="0"/>
    <x v="59"/>
    <x v="7"/>
    <n v="0"/>
    <x v="1"/>
    <n v="0"/>
    <n v="5.7043189999999999"/>
    <n v="0"/>
    <n v="0"/>
    <n v="5.7043189999999999"/>
  </r>
  <r>
    <x v="1"/>
    <x v="40"/>
    <x v="7"/>
    <n v="0"/>
    <x v="1"/>
    <n v="0"/>
    <n v="1.018006"/>
    <n v="0"/>
    <n v="0"/>
    <n v="1.018006"/>
  </r>
  <r>
    <x v="1"/>
    <x v="60"/>
    <x v="7"/>
    <n v="5.7035629999999999"/>
    <x v="62"/>
    <n v="0"/>
    <n v="10.061152"/>
    <n v="1.957417"/>
    <n v="0"/>
    <n v="18.935853000000002"/>
  </r>
  <r>
    <x v="0"/>
    <x v="0"/>
    <x v="8"/>
    <n v="0"/>
    <x v="1"/>
    <n v="0"/>
    <n v="0"/>
    <n v="395.33427699999999"/>
    <n v="0"/>
    <n v="395.33427699999999"/>
  </r>
  <r>
    <x v="1"/>
    <x v="61"/>
    <x v="8"/>
    <n v="0"/>
    <x v="1"/>
    <n v="0"/>
    <n v="0"/>
    <n v="14.918317999999999"/>
    <n v="0"/>
    <n v="14.918317999999999"/>
  </r>
  <r>
    <x v="1"/>
    <x v="45"/>
    <x v="8"/>
    <n v="0"/>
    <x v="1"/>
    <n v="0"/>
    <n v="0"/>
    <n v="7.9608999999999999E-2"/>
    <n v="0"/>
    <n v="7.9608999999999999E-2"/>
  </r>
  <r>
    <x v="2"/>
    <x v="3"/>
    <x v="8"/>
    <n v="0"/>
    <x v="63"/>
    <n v="0"/>
    <n v="0"/>
    <n v="0"/>
    <n v="90.163555000000002"/>
    <n v="95.039912999999999"/>
  </r>
  <r>
    <x v="1"/>
    <x v="62"/>
    <x v="8"/>
    <n v="0"/>
    <x v="1"/>
    <n v="0"/>
    <n v="0"/>
    <n v="0.16240099999999999"/>
    <n v="0"/>
    <n v="0.16240099999999999"/>
  </r>
  <r>
    <x v="1"/>
    <x v="63"/>
    <x v="8"/>
    <n v="0"/>
    <x v="1"/>
    <n v="0"/>
    <n v="0"/>
    <n v="22.696498999999999"/>
    <n v="0"/>
    <n v="22.696498999999999"/>
  </r>
  <r>
    <x v="0"/>
    <x v="8"/>
    <x v="8"/>
    <n v="0"/>
    <x v="1"/>
    <n v="0"/>
    <n v="30.898185999999999"/>
    <n v="157.18166600000001"/>
    <n v="0"/>
    <n v="188.07985199999999"/>
  </r>
  <r>
    <x v="3"/>
    <x v="10"/>
    <x v="8"/>
    <n v="0"/>
    <x v="64"/>
    <n v="0"/>
    <n v="0"/>
    <n v="0"/>
    <n v="1.7826789999999999"/>
    <n v="2.7570359999999998"/>
  </r>
  <r>
    <x v="1"/>
    <x v="49"/>
    <x v="8"/>
    <n v="0"/>
    <x v="1"/>
    <n v="0"/>
    <n v="0"/>
    <n v="21.117785999999999"/>
    <n v="0"/>
    <n v="21.117785999999999"/>
  </r>
  <r>
    <x v="0"/>
    <x v="46"/>
    <x v="8"/>
    <n v="0"/>
    <x v="1"/>
    <n v="0"/>
    <n v="0"/>
    <n v="0.93955900000000003"/>
    <n v="0"/>
    <n v="0.93955900000000003"/>
  </r>
  <r>
    <x v="1"/>
    <x v="52"/>
    <x v="8"/>
    <n v="0"/>
    <x v="1"/>
    <n v="0"/>
    <n v="4.1955080000000002"/>
    <n v="0"/>
    <n v="0"/>
    <n v="4.1955080000000002"/>
  </r>
  <r>
    <x v="1"/>
    <x v="16"/>
    <x v="8"/>
    <n v="0"/>
    <x v="1"/>
    <n v="0"/>
    <n v="0"/>
    <n v="4.2807000000000004"/>
    <n v="0"/>
    <n v="4.2807000000000004"/>
  </r>
  <r>
    <x v="3"/>
    <x v="19"/>
    <x v="8"/>
    <n v="0.14108299999999999"/>
    <x v="65"/>
    <n v="0.18653800000000001"/>
    <n v="25.818086000000001"/>
    <n v="0.25250499999999998"/>
    <n v="52.378301999999998"/>
    <n v="111.4641"/>
  </r>
  <r>
    <x v="1"/>
    <x v="51"/>
    <x v="8"/>
    <n v="0"/>
    <x v="1"/>
    <n v="0"/>
    <n v="32.781274000000003"/>
    <n v="9.6111149999999999"/>
    <n v="0"/>
    <n v="42.392389000000001"/>
  </r>
  <r>
    <x v="2"/>
    <x v="27"/>
    <x v="8"/>
    <n v="63.393402999999999"/>
    <x v="66"/>
    <n v="46.501569000000003"/>
    <n v="1704.2717279999999"/>
    <n v="30.939416000000001"/>
    <n v="2238.7336829999999"/>
    <n v="4904.158899"/>
  </r>
  <r>
    <x v="3"/>
    <x v="28"/>
    <x v="8"/>
    <n v="6.3879999999999996E-3"/>
    <x v="67"/>
    <n v="4.8612000000000002E-2"/>
    <n v="4.2985889999999998"/>
    <n v="3.5457000000000002E-2"/>
    <n v="16.95515"/>
    <n v="37.581097"/>
  </r>
  <r>
    <x v="0"/>
    <x v="53"/>
    <x v="8"/>
    <n v="0"/>
    <x v="1"/>
    <n v="0"/>
    <n v="5.4131369999999999"/>
    <n v="0"/>
    <n v="0"/>
    <n v="5.4131369999999999"/>
  </r>
  <r>
    <x v="1"/>
    <x v="54"/>
    <x v="8"/>
    <n v="0"/>
    <x v="1"/>
    <n v="0"/>
    <n v="7.4818720000000001"/>
    <n v="0"/>
    <n v="0"/>
    <n v="7.4818720000000001"/>
  </r>
  <r>
    <x v="2"/>
    <x v="32"/>
    <x v="8"/>
    <n v="7.5246420000000001"/>
    <x v="68"/>
    <n v="18.357059"/>
    <n v="38.509520999999999"/>
    <n v="1.488415"/>
    <n v="323.96717599999999"/>
    <n v="521.85345600000005"/>
  </r>
  <r>
    <x v="2"/>
    <x v="34"/>
    <x v="8"/>
    <n v="68.384428999999997"/>
    <x v="69"/>
    <n v="69.923176999999995"/>
    <n v="1607.887481"/>
    <n v="556.96498399999996"/>
    <n v="2759.5596860000001"/>
    <n v="5879.0488809999997"/>
  </r>
  <r>
    <x v="1"/>
    <x v="55"/>
    <x v="8"/>
    <n v="0"/>
    <x v="1"/>
    <n v="0"/>
    <n v="20.785405999999998"/>
    <n v="0"/>
    <n v="0"/>
    <n v="20.785405999999998"/>
  </r>
  <r>
    <x v="1"/>
    <x v="56"/>
    <x v="8"/>
    <n v="0"/>
    <x v="1"/>
    <n v="0"/>
    <n v="0"/>
    <n v="3.1246619999999998"/>
    <n v="0"/>
    <n v="3.1246619999999998"/>
  </r>
  <r>
    <x v="1"/>
    <x v="35"/>
    <x v="8"/>
    <n v="0"/>
    <x v="1"/>
    <n v="0"/>
    <n v="0"/>
    <n v="55.364044"/>
    <n v="0"/>
    <n v="55.364044"/>
  </r>
  <r>
    <x v="1"/>
    <x v="38"/>
    <x v="8"/>
    <n v="0"/>
    <x v="1"/>
    <n v="0"/>
    <n v="0"/>
    <n v="3.812001"/>
    <n v="0"/>
    <n v="3.812001"/>
  </r>
  <r>
    <x v="1"/>
    <x v="57"/>
    <x v="8"/>
    <n v="0"/>
    <x v="1"/>
    <n v="0"/>
    <n v="0.51072499999999998"/>
    <n v="0"/>
    <n v="0"/>
    <n v="0.51072499999999998"/>
  </r>
  <r>
    <x v="1"/>
    <x v="58"/>
    <x v="8"/>
    <n v="0"/>
    <x v="1"/>
    <n v="0"/>
    <n v="27.128269"/>
    <n v="0"/>
    <n v="0"/>
    <n v="27.128269"/>
  </r>
  <r>
    <x v="0"/>
    <x v="59"/>
    <x v="8"/>
    <n v="0"/>
    <x v="70"/>
    <n v="4.7633000000000002E-2"/>
    <n v="7.5194169999999998"/>
    <n v="0"/>
    <n v="0"/>
    <n v="13.088685999999999"/>
  </r>
  <r>
    <x v="1"/>
    <x v="40"/>
    <x v="8"/>
    <n v="0"/>
    <x v="1"/>
    <n v="0"/>
    <n v="0.952264"/>
    <n v="0"/>
    <n v="0"/>
    <n v="0.952264"/>
  </r>
  <r>
    <x v="1"/>
    <x v="60"/>
    <x v="8"/>
    <n v="6.7145859999999997"/>
    <x v="71"/>
    <n v="1.4866000000000001E-2"/>
    <n v="32.007007000000002"/>
    <n v="4.3538459999999999"/>
    <n v="0"/>
    <n v="45.770735999999999"/>
  </r>
  <r>
    <x v="0"/>
    <x v="0"/>
    <x v="9"/>
    <n v="0"/>
    <x v="1"/>
    <n v="0"/>
    <n v="0"/>
    <n v="406.17327899999998"/>
    <n v="0"/>
    <n v="406.17327899999998"/>
  </r>
  <r>
    <x v="1"/>
    <x v="61"/>
    <x v="9"/>
    <n v="0"/>
    <x v="1"/>
    <n v="0"/>
    <n v="0"/>
    <n v="12.969290000000001"/>
    <n v="0"/>
    <n v="12.969290000000001"/>
  </r>
  <r>
    <x v="1"/>
    <x v="45"/>
    <x v="9"/>
    <n v="0"/>
    <x v="1"/>
    <n v="0"/>
    <n v="0"/>
    <n v="0.116572"/>
    <n v="0"/>
    <n v="0.116572"/>
  </r>
  <r>
    <x v="2"/>
    <x v="3"/>
    <x v="9"/>
    <n v="0"/>
    <x v="72"/>
    <n v="0"/>
    <n v="0"/>
    <n v="0"/>
    <n v="85.119957999999997"/>
    <n v="89.809432999999999"/>
  </r>
  <r>
    <x v="1"/>
    <x v="62"/>
    <x v="9"/>
    <n v="0"/>
    <x v="1"/>
    <n v="0"/>
    <n v="0"/>
    <n v="0.30169699999999999"/>
    <n v="0"/>
    <n v="0.30169699999999999"/>
  </r>
  <r>
    <x v="0"/>
    <x v="8"/>
    <x v="9"/>
    <n v="0"/>
    <x v="1"/>
    <n v="0"/>
    <n v="0.61089599999999999"/>
    <n v="199.65620000000001"/>
    <n v="0"/>
    <n v="200.26709600000001"/>
  </r>
  <r>
    <x v="3"/>
    <x v="10"/>
    <x v="9"/>
    <n v="0"/>
    <x v="73"/>
    <n v="0"/>
    <n v="0"/>
    <n v="0"/>
    <n v="1.7540899999999999"/>
    <n v="2.8173240000000002"/>
  </r>
  <r>
    <x v="1"/>
    <x v="49"/>
    <x v="9"/>
    <n v="0"/>
    <x v="1"/>
    <n v="0"/>
    <n v="0"/>
    <n v="26.610050999999999"/>
    <n v="0"/>
    <n v="26.610050999999999"/>
  </r>
  <r>
    <x v="0"/>
    <x v="46"/>
    <x v="9"/>
    <n v="0"/>
    <x v="1"/>
    <n v="0"/>
    <n v="0"/>
    <n v="7.3602000000000001E-2"/>
    <n v="0"/>
    <n v="7.3602000000000001E-2"/>
  </r>
  <r>
    <x v="1"/>
    <x v="16"/>
    <x v="9"/>
    <n v="0"/>
    <x v="1"/>
    <n v="0"/>
    <n v="0"/>
    <n v="2.3283640000000001"/>
    <n v="0"/>
    <n v="2.3283640000000001"/>
  </r>
  <r>
    <x v="1"/>
    <x v="64"/>
    <x v="9"/>
    <n v="0"/>
    <x v="1"/>
    <n v="0"/>
    <n v="0"/>
    <n v="0.39085799999999998"/>
    <n v="0"/>
    <n v="0.39085799999999998"/>
  </r>
  <r>
    <x v="3"/>
    <x v="19"/>
    <x v="9"/>
    <n v="0.160914"/>
    <x v="74"/>
    <n v="7.4899999999999994E-2"/>
    <n v="28.853119"/>
    <n v="0.33506200000000003"/>
    <n v="56.285254000000002"/>
    <n v="121.075897"/>
  </r>
  <r>
    <x v="1"/>
    <x v="51"/>
    <x v="9"/>
    <n v="0"/>
    <x v="1"/>
    <n v="0"/>
    <n v="11.917479999999999"/>
    <n v="15.921065"/>
    <n v="0"/>
    <n v="27.838545"/>
  </r>
  <r>
    <x v="2"/>
    <x v="27"/>
    <x v="9"/>
    <n v="71.362971999999999"/>
    <x v="75"/>
    <n v="50.037700999999998"/>
    <n v="1621.7086179999999"/>
    <n v="21.079319000000002"/>
    <n v="2401.4417079999998"/>
    <n v="5023.463033"/>
  </r>
  <r>
    <x v="3"/>
    <x v="28"/>
    <x v="9"/>
    <n v="1.0758E-2"/>
    <x v="76"/>
    <n v="2.4572E-2"/>
    <n v="4.3845580000000002"/>
    <n v="7.825E-2"/>
    <n v="16.464074"/>
    <n v="37.110128000000003"/>
  </r>
  <r>
    <x v="0"/>
    <x v="53"/>
    <x v="9"/>
    <n v="0"/>
    <x v="1"/>
    <n v="0"/>
    <n v="0"/>
    <n v="0.47053299999999998"/>
    <n v="0"/>
    <n v="0.47053299999999998"/>
  </r>
  <r>
    <x v="1"/>
    <x v="54"/>
    <x v="9"/>
    <n v="0"/>
    <x v="1"/>
    <n v="0"/>
    <n v="7.8855269999999997"/>
    <n v="0"/>
    <n v="0"/>
    <n v="7.8855269999999997"/>
  </r>
  <r>
    <x v="2"/>
    <x v="32"/>
    <x v="9"/>
    <n v="8.3335570000000008"/>
    <x v="77"/>
    <n v="18.845980999999998"/>
    <n v="39.765698999999998"/>
    <n v="1.733074"/>
    <n v="336.39674200000002"/>
    <n v="539.754187"/>
  </r>
  <r>
    <x v="1"/>
    <x v="33"/>
    <x v="9"/>
    <n v="0"/>
    <x v="78"/>
    <n v="0"/>
    <n v="0"/>
    <n v="0"/>
    <n v="0"/>
    <n v="7.1335819999999996"/>
  </r>
  <r>
    <x v="2"/>
    <x v="34"/>
    <x v="9"/>
    <n v="84.673705999999996"/>
    <x v="79"/>
    <n v="71.356356000000005"/>
    <n v="1675.0445990000001"/>
    <n v="470.06815899999998"/>
    <n v="2814.0746370000002"/>
    <n v="5964.3207519999996"/>
  </r>
  <r>
    <x v="1"/>
    <x v="65"/>
    <x v="9"/>
    <n v="0"/>
    <x v="1"/>
    <n v="0"/>
    <n v="0"/>
    <n v="0.27704400000000001"/>
    <n v="0"/>
    <n v="0.27704400000000001"/>
  </r>
  <r>
    <x v="1"/>
    <x v="56"/>
    <x v="9"/>
    <n v="0"/>
    <x v="1"/>
    <n v="0"/>
    <n v="0"/>
    <n v="2.23916"/>
    <n v="0"/>
    <n v="2.23916"/>
  </r>
  <r>
    <x v="1"/>
    <x v="35"/>
    <x v="9"/>
    <n v="0"/>
    <x v="1"/>
    <n v="0"/>
    <n v="0"/>
    <n v="62.955663999999999"/>
    <n v="0"/>
    <n v="62.955663999999999"/>
  </r>
  <r>
    <x v="1"/>
    <x v="38"/>
    <x v="9"/>
    <n v="0"/>
    <x v="1"/>
    <n v="0"/>
    <n v="0"/>
    <n v="2.9439920000000002"/>
    <n v="0"/>
    <n v="2.9439920000000002"/>
  </r>
  <r>
    <x v="0"/>
    <x v="59"/>
    <x v="9"/>
    <n v="0"/>
    <x v="80"/>
    <n v="0"/>
    <n v="4.9976139999999996"/>
    <n v="0"/>
    <n v="0"/>
    <n v="10.345976"/>
  </r>
  <r>
    <x v="1"/>
    <x v="40"/>
    <x v="9"/>
    <n v="0"/>
    <x v="1"/>
    <n v="0"/>
    <n v="2.3389880000000001"/>
    <n v="0"/>
    <n v="0"/>
    <n v="2.3389880000000001"/>
  </r>
  <r>
    <x v="1"/>
    <x v="41"/>
    <x v="9"/>
    <n v="0"/>
    <x v="1"/>
    <n v="0"/>
    <n v="1.913306"/>
    <n v="0"/>
    <n v="0"/>
    <n v="1.913306"/>
  </r>
  <r>
    <x v="1"/>
    <x v="60"/>
    <x v="9"/>
    <n v="2.4220199999999998"/>
    <x v="81"/>
    <n v="3.0950000000000001E-3"/>
    <n v="4.9765779999999999"/>
    <n v="0.66867900000000002"/>
    <n v="0"/>
    <n v="9.0474960000000006"/>
  </r>
  <r>
    <x v="0"/>
    <x v="0"/>
    <x v="10"/>
    <n v="0"/>
    <x v="1"/>
    <n v="0"/>
    <n v="0"/>
    <n v="397.27415100000002"/>
    <n v="0"/>
    <n v="397.27415100000002"/>
  </r>
  <r>
    <x v="1"/>
    <x v="61"/>
    <x v="10"/>
    <n v="0"/>
    <x v="1"/>
    <n v="0"/>
    <n v="0"/>
    <n v="10.438734999999999"/>
    <n v="0"/>
    <n v="10.438734999999999"/>
  </r>
  <r>
    <x v="1"/>
    <x v="45"/>
    <x v="10"/>
    <n v="0"/>
    <x v="1"/>
    <n v="0"/>
    <n v="0"/>
    <n v="5.8004E-2"/>
    <n v="0"/>
    <n v="5.8004E-2"/>
  </r>
  <r>
    <x v="0"/>
    <x v="8"/>
    <x v="10"/>
    <n v="0"/>
    <x v="1"/>
    <n v="0"/>
    <n v="0"/>
    <n v="176.00428299999999"/>
    <n v="0"/>
    <n v="176.00428299999999"/>
  </r>
  <r>
    <x v="3"/>
    <x v="10"/>
    <x v="10"/>
    <n v="0"/>
    <x v="82"/>
    <n v="0"/>
    <n v="0"/>
    <n v="0"/>
    <n v="1.6129279999999999"/>
    <n v="2.5018989999999999"/>
  </r>
  <r>
    <x v="1"/>
    <x v="66"/>
    <x v="10"/>
    <n v="0"/>
    <x v="1"/>
    <n v="0"/>
    <n v="0"/>
    <n v="3.8063310000000001"/>
    <n v="0"/>
    <n v="3.8063310000000001"/>
  </r>
  <r>
    <x v="1"/>
    <x v="49"/>
    <x v="10"/>
    <n v="0"/>
    <x v="1"/>
    <n v="0"/>
    <n v="0"/>
    <n v="19.990237"/>
    <n v="0"/>
    <n v="19.990237"/>
  </r>
  <r>
    <x v="0"/>
    <x v="46"/>
    <x v="10"/>
    <n v="0"/>
    <x v="1"/>
    <n v="0"/>
    <n v="0"/>
    <n v="0.51835500000000001"/>
    <n v="0"/>
    <n v="0.51835500000000001"/>
  </r>
  <r>
    <x v="3"/>
    <x v="19"/>
    <x v="10"/>
    <n v="0.123958"/>
    <x v="83"/>
    <n v="8.3812999999999999E-2"/>
    <n v="24.436737000000001"/>
    <n v="0.19691900000000001"/>
    <n v="54.047868999999999"/>
    <n v="113.633269"/>
  </r>
  <r>
    <x v="1"/>
    <x v="51"/>
    <x v="10"/>
    <n v="0"/>
    <x v="1"/>
    <n v="0"/>
    <n v="12.690027000000001"/>
    <n v="0"/>
    <n v="0"/>
    <n v="12.690027000000001"/>
  </r>
  <r>
    <x v="2"/>
    <x v="27"/>
    <x v="10"/>
    <n v="62.693640000000002"/>
    <x v="84"/>
    <n v="53.796979"/>
    <n v="1745.4720560000001"/>
    <n v="26.068587000000001"/>
    <n v="2162.5322110000002"/>
    <n v="4918.6399879999999"/>
  </r>
  <r>
    <x v="3"/>
    <x v="28"/>
    <x v="10"/>
    <n v="0.15298999999999999"/>
    <x v="85"/>
    <n v="7.1729999999999997E-3"/>
    <n v="6.5070540000000001"/>
    <n v="0.210288"/>
    <n v="13.936918"/>
    <n v="33.423613000000003"/>
  </r>
  <r>
    <x v="0"/>
    <x v="53"/>
    <x v="10"/>
    <n v="0"/>
    <x v="1"/>
    <n v="0"/>
    <n v="0"/>
    <n v="0.62605500000000003"/>
    <n v="0"/>
    <n v="0.62605500000000003"/>
  </r>
  <r>
    <x v="1"/>
    <x v="54"/>
    <x v="10"/>
    <n v="0"/>
    <x v="1"/>
    <n v="0"/>
    <n v="4.9666040000000002"/>
    <n v="4.8700000000000002E-3"/>
    <n v="0"/>
    <n v="4.9714739999999997"/>
  </r>
  <r>
    <x v="2"/>
    <x v="32"/>
    <x v="10"/>
    <n v="6.227875"/>
    <x v="86"/>
    <n v="15.445713"/>
    <n v="40.023935000000002"/>
    <n v="1.88"/>
    <n v="340.24"/>
    <n v="541.17489799999998"/>
  </r>
  <r>
    <x v="2"/>
    <x v="34"/>
    <x v="10"/>
    <n v="89.486869999999996"/>
    <x v="87"/>
    <n v="62.600687000000001"/>
    <n v="1648.2985510000001"/>
    <n v="522.22981500000003"/>
    <n v="2588.3073810000001"/>
    <n v="5728.8928919999998"/>
  </r>
  <r>
    <x v="1"/>
    <x v="65"/>
    <x v="10"/>
    <n v="0"/>
    <x v="1"/>
    <n v="0"/>
    <n v="0"/>
    <n v="0.91922999999999999"/>
    <n v="0"/>
    <n v="0.91922999999999999"/>
  </r>
  <r>
    <x v="1"/>
    <x v="37"/>
    <x v="10"/>
    <n v="0"/>
    <x v="1"/>
    <n v="0"/>
    <n v="0"/>
    <n v="18.642989"/>
    <n v="0"/>
    <n v="18.642989"/>
  </r>
  <r>
    <x v="1"/>
    <x v="38"/>
    <x v="10"/>
    <n v="0"/>
    <x v="1"/>
    <n v="0"/>
    <n v="0"/>
    <n v="3.6059779999999999"/>
    <n v="0"/>
    <n v="3.6059779999999999"/>
  </r>
  <r>
    <x v="0"/>
    <x v="59"/>
    <x v="10"/>
    <n v="0"/>
    <x v="88"/>
    <n v="0"/>
    <n v="6.4811459999999999"/>
    <n v="0"/>
    <n v="0"/>
    <n v="12.790877999999999"/>
  </r>
  <r>
    <x v="1"/>
    <x v="67"/>
    <x v="10"/>
    <n v="0"/>
    <x v="1"/>
    <n v="0"/>
    <n v="10.782534"/>
    <n v="16.698941999999999"/>
    <n v="0"/>
    <n v="27.481476000000001"/>
  </r>
  <r>
    <x v="1"/>
    <x v="41"/>
    <x v="10"/>
    <n v="0"/>
    <x v="1"/>
    <n v="0"/>
    <n v="2.6147399999999998"/>
    <n v="0"/>
    <n v="0"/>
    <n v="2.6147399999999998"/>
  </r>
  <r>
    <x v="0"/>
    <x v="0"/>
    <x v="11"/>
    <n v="0"/>
    <x v="1"/>
    <n v="0"/>
    <n v="0"/>
    <n v="33.800507000000003"/>
    <n v="0"/>
    <n v="33.800507000000003"/>
  </r>
  <r>
    <x v="2"/>
    <x v="3"/>
    <x v="11"/>
    <n v="0"/>
    <x v="89"/>
    <n v="0"/>
    <n v="0"/>
    <n v="0"/>
    <n v="14.099829"/>
    <n v="19.50797"/>
  </r>
  <r>
    <x v="0"/>
    <x v="8"/>
    <x v="11"/>
    <n v="0"/>
    <x v="1"/>
    <n v="0"/>
    <n v="0"/>
    <n v="409.24511100000001"/>
    <n v="0"/>
    <n v="409.24511100000001"/>
  </r>
  <r>
    <x v="3"/>
    <x v="10"/>
    <x v="11"/>
    <n v="0"/>
    <x v="90"/>
    <n v="0"/>
    <n v="0"/>
    <n v="0"/>
    <n v="1.2224980000000001"/>
    <n v="1.9154249999999999"/>
  </r>
  <r>
    <x v="0"/>
    <x v="46"/>
    <x v="11"/>
    <n v="0"/>
    <x v="1"/>
    <n v="0"/>
    <n v="0"/>
    <n v="8.9839000000000002E-2"/>
    <n v="0"/>
    <n v="8.9839000000000002E-2"/>
  </r>
  <r>
    <x v="3"/>
    <x v="19"/>
    <x v="11"/>
    <n v="0.18770700000000001"/>
    <x v="91"/>
    <n v="1.23159"/>
    <n v="54.606619999999999"/>
    <n v="0.46935900000000003"/>
    <n v="50.196362000000001"/>
    <n v="147.618662"/>
  </r>
  <r>
    <x v="2"/>
    <x v="27"/>
    <x v="11"/>
    <n v="54.764539999999997"/>
    <x v="92"/>
    <n v="58.155053000000002"/>
    <n v="1752.114975"/>
    <n v="34.362130000000001"/>
    <n v="1951.741438"/>
    <n v="4599.8931309999998"/>
  </r>
  <r>
    <x v="3"/>
    <x v="28"/>
    <x v="11"/>
    <n v="0.162269"/>
    <x v="93"/>
    <n v="6.4373E-2"/>
    <n v="11.801572999999999"/>
    <n v="0.17832600000000001"/>
    <n v="12.060269"/>
    <n v="35.059815"/>
  </r>
  <r>
    <x v="0"/>
    <x v="53"/>
    <x v="11"/>
    <n v="0"/>
    <x v="1"/>
    <n v="22.53603"/>
    <n v="0"/>
    <n v="0"/>
    <n v="0"/>
    <n v="22.53603"/>
  </r>
  <r>
    <x v="1"/>
    <x v="54"/>
    <x v="11"/>
    <n v="0"/>
    <x v="1"/>
    <n v="0"/>
    <n v="26.562923999999999"/>
    <n v="0"/>
    <n v="0"/>
    <n v="26.562923999999999"/>
  </r>
  <r>
    <x v="2"/>
    <x v="32"/>
    <x v="11"/>
    <n v="7.5819349999999996"/>
    <x v="94"/>
    <n v="19.551157"/>
    <n v="38.499741"/>
    <n v="2.2569149999999998"/>
    <n v="358.45147800000001"/>
    <n v="573.28442199999995"/>
  </r>
  <r>
    <x v="2"/>
    <x v="34"/>
    <x v="11"/>
    <n v="73.940460999999999"/>
    <x v="95"/>
    <n v="63.712440999999998"/>
    <n v="1450.4360019999999"/>
    <n v="359.74299000000002"/>
    <n v="2657.1658710000002"/>
    <n v="5441.1036720000002"/>
  </r>
  <r>
    <x v="1"/>
    <x v="35"/>
    <x v="11"/>
    <n v="0"/>
    <x v="1"/>
    <n v="0"/>
    <n v="0"/>
    <n v="264.62496700000003"/>
    <n v="0"/>
    <n v="264.62496700000003"/>
  </r>
  <r>
    <x v="0"/>
    <x v="59"/>
    <x v="11"/>
    <n v="0"/>
    <x v="1"/>
    <n v="0"/>
    <n v="0"/>
    <n v="1.0565979999999999"/>
    <n v="0"/>
    <n v="1.0565979999999999"/>
  </r>
  <r>
    <x v="1"/>
    <x v="41"/>
    <x v="11"/>
    <n v="0"/>
    <x v="1"/>
    <n v="0.40006599999999998"/>
    <n v="0"/>
    <n v="0"/>
    <n v="0"/>
    <n v="0.40006599999999998"/>
  </r>
  <r>
    <x v="0"/>
    <x v="0"/>
    <x v="12"/>
    <n v="0"/>
    <x v="1"/>
    <n v="0"/>
    <n v="0"/>
    <n v="32.652881999999998"/>
    <n v="0"/>
    <n v="32.652881999999998"/>
  </r>
  <r>
    <x v="2"/>
    <x v="3"/>
    <x v="12"/>
    <n v="0"/>
    <x v="96"/>
    <n v="0"/>
    <n v="0"/>
    <n v="0"/>
    <n v="14.522613"/>
    <n v="19.491966000000001"/>
  </r>
  <r>
    <x v="1"/>
    <x v="62"/>
    <x v="12"/>
    <n v="0"/>
    <x v="1"/>
    <n v="0"/>
    <n v="0"/>
    <n v="0"/>
    <n v="3.7594000000000002E-2"/>
    <n v="3.7594000000000002E-2"/>
  </r>
  <r>
    <x v="0"/>
    <x v="8"/>
    <x v="12"/>
    <n v="0"/>
    <x v="1"/>
    <n v="0"/>
    <n v="0"/>
    <n v="47.719771999999999"/>
    <n v="0"/>
    <n v="47.719771999999999"/>
  </r>
  <r>
    <x v="3"/>
    <x v="10"/>
    <x v="12"/>
    <n v="0"/>
    <x v="97"/>
    <n v="0"/>
    <n v="0"/>
    <n v="0"/>
    <n v="0.91491699999999998"/>
    <n v="1.8508180000000001"/>
  </r>
  <r>
    <x v="0"/>
    <x v="46"/>
    <x v="12"/>
    <n v="0"/>
    <x v="1"/>
    <n v="0"/>
    <n v="0"/>
    <n v="0.10552300000000001"/>
    <n v="0"/>
    <n v="0.10552300000000001"/>
  </r>
  <r>
    <x v="3"/>
    <x v="19"/>
    <x v="12"/>
    <n v="0.226965"/>
    <x v="98"/>
    <n v="1.079866"/>
    <n v="62.184364000000002"/>
    <n v="0.43256499999999998"/>
    <n v="49.524549"/>
    <n v="160.57302200000001"/>
  </r>
  <r>
    <x v="2"/>
    <x v="27"/>
    <x v="12"/>
    <n v="53.913294999999998"/>
    <x v="99"/>
    <n v="32.418103000000002"/>
    <n v="1376.9913369999999"/>
    <n v="14.862508999999999"/>
    <n v="2067.9825470000001"/>
    <n v="4381.4212230000003"/>
  </r>
  <r>
    <x v="3"/>
    <x v="28"/>
    <x v="12"/>
    <n v="0.27535799999999999"/>
    <x v="100"/>
    <n v="3.3061E-2"/>
    <n v="10.693863"/>
    <n v="0.26096799999999998"/>
    <n v="10.191257"/>
    <n v="33.334564999999998"/>
  </r>
  <r>
    <x v="2"/>
    <x v="32"/>
    <x v="12"/>
    <n v="8.5107060000000008"/>
    <x v="101"/>
    <n v="16.668415"/>
    <n v="40.292065000000001"/>
    <n v="2.5797340000000002"/>
    <n v="357.085936"/>
    <n v="576.58292700000004"/>
  </r>
  <r>
    <x v="2"/>
    <x v="34"/>
    <x v="12"/>
    <n v="83.996285"/>
    <x v="102"/>
    <n v="93.813902999999996"/>
    <n v="1557.837411"/>
    <n v="485.45705099999998"/>
    <n v="2623.3348120000001"/>
    <n v="5693.0994069999997"/>
  </r>
  <r>
    <x v="1"/>
    <x v="35"/>
    <x v="12"/>
    <n v="0"/>
    <x v="1"/>
    <n v="0"/>
    <n v="0"/>
    <n v="262.230706"/>
    <n v="0"/>
    <n v="262.230706"/>
  </r>
  <r>
    <x v="0"/>
    <x v="59"/>
    <x v="12"/>
    <n v="0"/>
    <x v="1"/>
    <n v="0"/>
    <n v="0"/>
    <n v="0.59335099999999996"/>
    <n v="0"/>
    <n v="0.59335099999999996"/>
  </r>
  <r>
    <x v="0"/>
    <x v="0"/>
    <x v="13"/>
    <n v="0"/>
    <x v="1"/>
    <n v="0"/>
    <n v="0"/>
    <n v="27.919937000000001"/>
    <n v="0"/>
    <n v="27.919937000000001"/>
  </r>
  <r>
    <x v="2"/>
    <x v="3"/>
    <x v="13"/>
    <n v="0"/>
    <x v="103"/>
    <n v="0"/>
    <n v="0"/>
    <n v="0"/>
    <n v="14.505796"/>
    <n v="17.073329000000001"/>
  </r>
  <r>
    <x v="0"/>
    <x v="8"/>
    <x v="13"/>
    <n v="0"/>
    <x v="1"/>
    <n v="0"/>
    <n v="0"/>
    <n v="45.476126000000001"/>
    <n v="0"/>
    <n v="45.476126000000001"/>
  </r>
  <r>
    <x v="3"/>
    <x v="10"/>
    <x v="13"/>
    <n v="0"/>
    <x v="104"/>
    <n v="0"/>
    <n v="0"/>
    <n v="0"/>
    <n v="1.281979"/>
    <n v="2.2719939999999998"/>
  </r>
  <r>
    <x v="0"/>
    <x v="46"/>
    <x v="13"/>
    <n v="0"/>
    <x v="1"/>
    <n v="0"/>
    <n v="0"/>
    <n v="7.1651999999999993E-2"/>
    <n v="0"/>
    <n v="7.1651999999999993E-2"/>
  </r>
  <r>
    <x v="3"/>
    <x v="19"/>
    <x v="13"/>
    <n v="6.6467999999999999E-2"/>
    <x v="105"/>
    <n v="3.6045940000000001"/>
    <n v="51.585540000000002"/>
    <n v="0.64268499999999995"/>
    <n v="46.986257000000002"/>
    <n v="140.481426"/>
  </r>
  <r>
    <x v="2"/>
    <x v="27"/>
    <x v="13"/>
    <n v="72.489468000000002"/>
    <x v="106"/>
    <n v="44.919280000000001"/>
    <n v="1436.9113199999999"/>
    <n v="14.690499000000001"/>
    <n v="2027.231638"/>
    <n v="4460.4065149999997"/>
  </r>
  <r>
    <x v="3"/>
    <x v="28"/>
    <x v="13"/>
    <n v="0.38286599999999998"/>
    <x v="107"/>
    <n v="9.3577999999999995E-2"/>
    <n v="10.149319"/>
    <n v="0.17255699999999999"/>
    <n v="15.690581"/>
    <n v="39.781722000000002"/>
  </r>
  <r>
    <x v="2"/>
    <x v="32"/>
    <x v="13"/>
    <n v="6.9860699999999998"/>
    <x v="108"/>
    <n v="22.70543"/>
    <n v="34.552888000000003"/>
    <n v="2.6400480000000002"/>
    <n v="339.75816900000001"/>
    <n v="565.11214199999995"/>
  </r>
  <r>
    <x v="2"/>
    <x v="34"/>
    <x v="13"/>
    <n v="99.005668"/>
    <x v="109"/>
    <n v="73.544270999999995"/>
    <n v="1436.8979870000001"/>
    <n v="483.98540400000002"/>
    <n v="2466.9313809999999"/>
    <n v="5431.1527839999999"/>
  </r>
  <r>
    <x v="0"/>
    <x v="59"/>
    <x v="13"/>
    <n v="0"/>
    <x v="1"/>
    <n v="0"/>
    <n v="0"/>
    <n v="0.93148399999999998"/>
    <n v="0"/>
    <n v="0.93148399999999998"/>
  </r>
  <r>
    <x v="0"/>
    <x v="0"/>
    <x v="14"/>
    <n v="0"/>
    <x v="1"/>
    <n v="0"/>
    <n v="0"/>
    <n v="28.272839999999999"/>
    <n v="0"/>
    <n v="28.272839999999999"/>
  </r>
  <r>
    <x v="2"/>
    <x v="3"/>
    <x v="14"/>
    <n v="0"/>
    <x v="110"/>
    <n v="0"/>
    <n v="0"/>
    <n v="0"/>
    <n v="14.977843"/>
    <n v="16.083821"/>
  </r>
  <r>
    <x v="0"/>
    <x v="5"/>
    <x v="14"/>
    <n v="0"/>
    <x v="1"/>
    <n v="0"/>
    <n v="0"/>
    <n v="69.452078"/>
    <n v="0"/>
    <n v="69.452078"/>
  </r>
  <r>
    <x v="0"/>
    <x v="8"/>
    <x v="14"/>
    <n v="0"/>
    <x v="1"/>
    <n v="0"/>
    <n v="0"/>
    <n v="26.212456"/>
    <n v="0"/>
    <n v="26.212456"/>
  </r>
  <r>
    <x v="3"/>
    <x v="10"/>
    <x v="14"/>
    <n v="0"/>
    <x v="111"/>
    <n v="0"/>
    <n v="0"/>
    <n v="0"/>
    <n v="1.4097440000000001"/>
    <n v="2.164927"/>
  </r>
  <r>
    <x v="0"/>
    <x v="46"/>
    <x v="14"/>
    <n v="0"/>
    <x v="1"/>
    <n v="0"/>
    <n v="0"/>
    <n v="12.021376"/>
    <n v="0"/>
    <n v="12.021376"/>
  </r>
  <r>
    <x v="3"/>
    <x v="19"/>
    <x v="14"/>
    <n v="8.2653000000000004E-2"/>
    <x v="112"/>
    <n v="2.529979"/>
    <n v="38.546008"/>
    <n v="0.46798200000000001"/>
    <n v="48.295430000000003"/>
    <n v="126.347398"/>
  </r>
  <r>
    <x v="2"/>
    <x v="27"/>
    <x v="14"/>
    <n v="64.776273000000003"/>
    <x v="113"/>
    <n v="60.572608000000002"/>
    <n v="2001.197991"/>
    <n v="45.505395"/>
    <n v="2056.1573119999998"/>
    <n v="5166.229687"/>
  </r>
  <r>
    <x v="3"/>
    <x v="28"/>
    <x v="14"/>
    <n v="0.29694300000000001"/>
    <x v="114"/>
    <n v="0.14283999999999999"/>
    <n v="7.1742039999999996"/>
    <n v="0.63255799999999995"/>
    <n v="13.592846"/>
    <n v="34.261547999999998"/>
  </r>
  <r>
    <x v="2"/>
    <x v="32"/>
    <x v="14"/>
    <n v="6.4796690000000003"/>
    <x v="115"/>
    <n v="20.46913"/>
    <n v="32.595644999999998"/>
    <n v="5.280627"/>
    <n v="357.52929499999999"/>
    <n v="582.29242699999998"/>
  </r>
  <r>
    <x v="2"/>
    <x v="34"/>
    <x v="14"/>
    <n v="101.360961"/>
    <x v="116"/>
    <n v="73.683620000000005"/>
    <n v="1461.1715730000001"/>
    <n v="413.486558"/>
    <n v="2616.039565"/>
    <n v="5594.8315739999998"/>
  </r>
  <r>
    <x v="0"/>
    <x v="59"/>
    <x v="14"/>
    <n v="0"/>
    <x v="1"/>
    <n v="0"/>
    <n v="0"/>
    <n v="1.312376"/>
    <n v="0"/>
    <n v="1.312376"/>
  </r>
  <r>
    <x v="0"/>
    <x v="0"/>
    <x v="15"/>
    <n v="0"/>
    <x v="1"/>
    <n v="0"/>
    <n v="0"/>
    <n v="27.005393000000002"/>
    <n v="0"/>
    <n v="27.005393000000002"/>
  </r>
  <r>
    <x v="2"/>
    <x v="3"/>
    <x v="15"/>
    <n v="0"/>
    <x v="117"/>
    <n v="0"/>
    <n v="0"/>
    <n v="0"/>
    <n v="7.841653"/>
    <n v="9.9970730000000003"/>
  </r>
  <r>
    <x v="0"/>
    <x v="5"/>
    <x v="15"/>
    <n v="0"/>
    <x v="1"/>
    <n v="0"/>
    <n v="0"/>
    <n v="37.186798000000003"/>
    <n v="0"/>
    <n v="37.186798000000003"/>
  </r>
  <r>
    <x v="0"/>
    <x v="8"/>
    <x v="15"/>
    <n v="0"/>
    <x v="1"/>
    <n v="0"/>
    <n v="0"/>
    <n v="16.910796999999999"/>
    <n v="0"/>
    <n v="16.910796999999999"/>
  </r>
  <r>
    <x v="3"/>
    <x v="10"/>
    <x v="15"/>
    <n v="0"/>
    <x v="118"/>
    <n v="0"/>
    <n v="0"/>
    <n v="0"/>
    <n v="2.5861529999999999"/>
    <n v="3.7124350000000002"/>
  </r>
  <r>
    <x v="0"/>
    <x v="46"/>
    <x v="15"/>
    <n v="0"/>
    <x v="1"/>
    <n v="0"/>
    <n v="0"/>
    <n v="1.2373940000000001"/>
    <n v="0"/>
    <n v="1.2373940000000001"/>
  </r>
  <r>
    <x v="3"/>
    <x v="19"/>
    <x v="15"/>
    <n v="7.5526999999999997E-2"/>
    <x v="119"/>
    <n v="2.7190310000000002"/>
    <n v="43.201867"/>
    <n v="0.34934700000000002"/>
    <n v="46.964326"/>
    <n v="129.41575"/>
  </r>
  <r>
    <x v="2"/>
    <x v="27"/>
    <x v="15"/>
    <n v="40.71857"/>
    <x v="120"/>
    <n v="60.439723999999998"/>
    <n v="1708.411648"/>
    <n v="76.425517999999997"/>
    <n v="1978.037595"/>
    <n v="4742.8986629999999"/>
  </r>
  <r>
    <x v="3"/>
    <x v="28"/>
    <x v="15"/>
    <n v="0.238903"/>
    <x v="121"/>
    <n v="0.147231"/>
    <n v="8.6618370000000002"/>
    <n v="0.82498899999999997"/>
    <n v="5.2430000000000003E-3"/>
    <n v="20.404060999999999"/>
  </r>
  <r>
    <x v="2"/>
    <x v="32"/>
    <x v="15"/>
    <n v="5.2680239999999996"/>
    <x v="122"/>
    <n v="20.887146000000001"/>
    <n v="29.463840999999999"/>
    <n v="5.2671609999999998"/>
    <n v="335.13476100000003"/>
    <n v="554.80045299999995"/>
  </r>
  <r>
    <x v="2"/>
    <x v="34"/>
    <x v="15"/>
    <n v="84.830652999999998"/>
    <x v="123"/>
    <n v="73.874815999999996"/>
    <n v="1454.493226"/>
    <n v="410.34044399999999"/>
    <n v="2434.097166"/>
    <n v="5379.0770540000003"/>
  </r>
  <r>
    <x v="0"/>
    <x v="59"/>
    <x v="15"/>
    <n v="0"/>
    <x v="1"/>
    <n v="0"/>
    <n v="0"/>
    <n v="1.559264"/>
    <n v="0"/>
    <n v="1.559264"/>
  </r>
  <r>
    <x v="0"/>
    <x v="0"/>
    <x v="16"/>
    <n v="0"/>
    <x v="1"/>
    <n v="0"/>
    <n v="0"/>
    <n v="22.465"/>
    <n v="0"/>
    <n v="22.465"/>
  </r>
  <r>
    <x v="0"/>
    <x v="5"/>
    <x v="16"/>
    <n v="0"/>
    <x v="1"/>
    <n v="0"/>
    <n v="0"/>
    <n v="116.947011"/>
    <n v="0"/>
    <n v="116.947011"/>
  </r>
  <r>
    <x v="0"/>
    <x v="8"/>
    <x v="16"/>
    <n v="0"/>
    <x v="1"/>
    <n v="0"/>
    <n v="0"/>
    <n v="13.408331"/>
    <n v="0"/>
    <n v="13.408331"/>
  </r>
  <r>
    <x v="3"/>
    <x v="10"/>
    <x v="16"/>
    <n v="0"/>
    <x v="124"/>
    <n v="0"/>
    <n v="0"/>
    <n v="0"/>
    <n v="1.485066"/>
    <n v="2.4082729999999999"/>
  </r>
  <r>
    <x v="0"/>
    <x v="46"/>
    <x v="16"/>
    <n v="0"/>
    <x v="1"/>
    <n v="0"/>
    <n v="0"/>
    <n v="2.2169099999999999"/>
    <n v="0"/>
    <n v="2.2169099999999999"/>
  </r>
  <r>
    <x v="3"/>
    <x v="19"/>
    <x v="16"/>
    <n v="0.158965"/>
    <x v="125"/>
    <n v="1.502939"/>
    <n v="25.223942999999998"/>
    <n v="0.32916299999999998"/>
    <n v="46.118240999999998"/>
    <n v="123.336855"/>
  </r>
  <r>
    <x v="2"/>
    <x v="27"/>
    <x v="16"/>
    <n v="40.868034000000002"/>
    <x v="126"/>
    <n v="57.591597"/>
    <n v="1771.7596579999999"/>
    <n v="27.216881999999998"/>
    <n v="2005.1284049999999"/>
    <n v="4806.0904110000001"/>
  </r>
  <r>
    <x v="3"/>
    <x v="28"/>
    <x v="16"/>
    <n v="0.12625800000000001"/>
    <x v="127"/>
    <n v="5.6961999999999999E-2"/>
    <n v="3.4655719999999999"/>
    <n v="0.23340900000000001"/>
    <n v="14.015184"/>
    <n v="31.146429999999999"/>
  </r>
  <r>
    <x v="2"/>
    <x v="32"/>
    <x v="16"/>
    <n v="4.896827"/>
    <x v="128"/>
    <n v="24.987423"/>
    <n v="30.306846"/>
    <n v="4.8124149999999997"/>
    <n v="345.37649199999998"/>
    <n v="564.04756799999996"/>
  </r>
  <r>
    <x v="2"/>
    <x v="34"/>
    <x v="16"/>
    <n v="85.818032000000002"/>
    <x v="129"/>
    <n v="69.731311000000005"/>
    <n v="1436.3547349999999"/>
    <n v="449.40957600000002"/>
    <n v="2497.8833650000001"/>
    <n v="5437.2308590000002"/>
  </r>
  <r>
    <x v="0"/>
    <x v="59"/>
    <x v="16"/>
    <n v="0"/>
    <x v="1"/>
    <n v="0"/>
    <n v="0"/>
    <n v="1.5407200000000001"/>
    <n v="0"/>
    <n v="1.5407200000000001"/>
  </r>
  <r>
    <x v="0"/>
    <x v="0"/>
    <x v="17"/>
    <n v="0"/>
    <x v="1"/>
    <n v="0"/>
    <n v="0"/>
    <n v="22.465"/>
    <n v="0"/>
    <n v="22.465"/>
  </r>
  <r>
    <x v="0"/>
    <x v="5"/>
    <x v="17"/>
    <n v="0"/>
    <x v="1"/>
    <n v="0"/>
    <n v="0"/>
    <n v="104.432238"/>
    <n v="0"/>
    <n v="104.432238"/>
  </r>
  <r>
    <x v="0"/>
    <x v="8"/>
    <x v="17"/>
    <n v="0"/>
    <x v="1"/>
    <n v="0"/>
    <n v="0"/>
    <n v="10.909132"/>
    <n v="0"/>
    <n v="10.909132"/>
  </r>
  <r>
    <x v="3"/>
    <x v="10"/>
    <x v="17"/>
    <n v="0"/>
    <x v="130"/>
    <n v="0"/>
    <n v="0"/>
    <n v="0"/>
    <n v="0.91459000000000001"/>
    <n v="1.4042760000000001"/>
  </r>
  <r>
    <x v="0"/>
    <x v="46"/>
    <x v="17"/>
    <n v="0"/>
    <x v="1"/>
    <n v="0"/>
    <n v="0"/>
    <n v="1.8646419999999999"/>
    <n v="0"/>
    <n v="1.8646419999999999"/>
  </r>
  <r>
    <x v="3"/>
    <x v="19"/>
    <x v="17"/>
    <n v="0.13814899999999999"/>
    <x v="131"/>
    <n v="1.579574"/>
    <n v="24.716328000000001"/>
    <n v="0.29752600000000001"/>
    <n v="45.236738000000003"/>
    <n v="107.98358500000001"/>
  </r>
  <r>
    <x v="2"/>
    <x v="27"/>
    <x v="17"/>
    <n v="46.064762999999999"/>
    <x v="132"/>
    <n v="48.996954000000002"/>
    <n v="1503.1916960000001"/>
    <n v="36.283211000000001"/>
    <n v="2023.350451"/>
    <n v="4527.7151620000004"/>
  </r>
  <r>
    <x v="3"/>
    <x v="28"/>
    <x v="17"/>
    <n v="0.124553"/>
    <x v="133"/>
    <n v="6.7958000000000005E-2"/>
    <n v="3.3720050000000001"/>
    <n v="0.209727"/>
    <n v="14.211190999999999"/>
    <n v="31.241150000000001"/>
  </r>
  <r>
    <x v="2"/>
    <x v="32"/>
    <x v="17"/>
    <n v="4.4480820000000003"/>
    <x v="134"/>
    <n v="23.66658"/>
    <n v="27.240794999999999"/>
    <n v="4.3970359999999999"/>
    <n v="331.90169200000003"/>
    <n v="547.00731099999996"/>
  </r>
  <r>
    <x v="2"/>
    <x v="34"/>
    <x v="17"/>
    <n v="86.176641000000004"/>
    <x v="135"/>
    <n v="104.95406699999999"/>
    <n v="1500.1831139999999"/>
    <n v="464.08453200000002"/>
    <n v="2523.0350149999999"/>
    <n v="5592.1896100000004"/>
  </r>
  <r>
    <x v="0"/>
    <x v="59"/>
    <x v="17"/>
    <n v="0"/>
    <x v="1"/>
    <n v="0"/>
    <n v="0"/>
    <n v="1.5407200000000001"/>
    <n v="0"/>
    <n v="1.5407200000000001"/>
  </r>
  <r>
    <x v="3"/>
    <x v="19"/>
    <x v="18"/>
    <n v="0"/>
    <x v="136"/>
    <n v="1.9770019999999999"/>
    <n v="14.061914"/>
    <n v="0"/>
    <n v="53.209471000000001"/>
    <n v="95.244135"/>
  </r>
  <r>
    <x v="2"/>
    <x v="27"/>
    <x v="18"/>
    <n v="43.703570999999997"/>
    <x v="137"/>
    <n v="48.682026"/>
    <n v="1587.636193"/>
    <n v="44.690510000000003"/>
    <n v="2058.1440710000002"/>
    <n v="4677.9580029999997"/>
  </r>
  <r>
    <x v="3"/>
    <x v="28"/>
    <x v="18"/>
    <n v="0.12180199999999999"/>
    <x v="138"/>
    <n v="9.8853999999999997E-2"/>
    <n v="3.1539030000000001"/>
    <n v="0.203293"/>
    <n v="14.909090000000001"/>
    <n v="31.511956000000001"/>
  </r>
  <r>
    <x v="2"/>
    <x v="32"/>
    <x v="18"/>
    <n v="3.8563339999999999"/>
    <x v="139"/>
    <n v="24.250212999999999"/>
    <n v="29.010871999999999"/>
    <n v="4.333882"/>
    <n v="324.69276600000001"/>
    <n v="541.36575600000003"/>
  </r>
  <r>
    <x v="2"/>
    <x v="34"/>
    <x v="18"/>
    <n v="82.586427999999998"/>
    <x v="140"/>
    <n v="52.121913999999997"/>
    <n v="1548.505762"/>
    <n v="411.09960100000001"/>
    <n v="2480.1702260000002"/>
    <n v="5456.5904719999999"/>
  </r>
  <r>
    <x v="3"/>
    <x v="19"/>
    <x v="19"/>
    <n v="0"/>
    <x v="141"/>
    <n v="1.9136770000000001"/>
    <n v="13.223903999999999"/>
    <n v="0"/>
    <n v="59.350414000000001"/>
    <n v="104.699195"/>
  </r>
  <r>
    <x v="2"/>
    <x v="27"/>
    <x v="19"/>
    <n v="36.754801999999998"/>
    <x v="142"/>
    <n v="46.531055000000002"/>
    <n v="1521.8746880000001"/>
    <n v="40.618771000000002"/>
    <n v="2045.6349889999999"/>
    <n v="4569.8615449999998"/>
  </r>
  <r>
    <x v="3"/>
    <x v="28"/>
    <x v="19"/>
    <n v="0.12958900000000001"/>
    <x v="143"/>
    <n v="0.188059"/>
    <n v="2.7223809999999999"/>
    <n v="0.20510100000000001"/>
    <n v="14.185225000000001"/>
    <n v="29.197799"/>
  </r>
  <r>
    <x v="2"/>
    <x v="32"/>
    <x v="19"/>
    <n v="4.1398210000000004"/>
    <x v="144"/>
    <n v="21.128579999999999"/>
    <n v="27.533102"/>
    <n v="3.4097230000000001"/>
    <n v="308.73400900000001"/>
    <n v="514.86968999999999"/>
  </r>
  <r>
    <x v="2"/>
    <x v="34"/>
    <x v="19"/>
    <n v="78.805265000000006"/>
    <x v="145"/>
    <n v="50.141226000000003"/>
    <n v="1438.1884050000001"/>
    <n v="261.43415399999998"/>
    <n v="2441.8329680000002"/>
    <n v="5134.7186819999997"/>
  </r>
  <r>
    <x v="3"/>
    <x v="19"/>
    <x v="20"/>
    <n v="0"/>
    <x v="146"/>
    <n v="2.6361870000000001"/>
    <n v="8.4773960000000006"/>
    <n v="0"/>
    <n v="54.21199"/>
    <n v="91.114941000000002"/>
  </r>
  <r>
    <x v="2"/>
    <x v="27"/>
    <x v="20"/>
    <n v="34.679814"/>
    <x v="147"/>
    <n v="47.472219000000003"/>
    <n v="1531.670897"/>
    <n v="53.407344000000002"/>
    <n v="2058.9872329999998"/>
    <n v="4619.8095030000004"/>
  </r>
  <r>
    <x v="3"/>
    <x v="28"/>
    <x v="20"/>
    <n v="0.123151"/>
    <x v="148"/>
    <n v="0.26265699999999997"/>
    <n v="2.343191"/>
    <n v="0.198182"/>
    <n v="11.379243000000001"/>
    <n v="25.744221"/>
  </r>
  <r>
    <x v="2"/>
    <x v="32"/>
    <x v="20"/>
    <n v="4.0137669999999996"/>
    <x v="149"/>
    <n v="22.499815999999999"/>
    <n v="24.673348000000001"/>
    <n v="3.7009949999999998"/>
    <n v="337.88181800000001"/>
    <n v="556.22948099999996"/>
  </r>
  <r>
    <x v="2"/>
    <x v="34"/>
    <x v="20"/>
    <n v="66.107736000000003"/>
    <x v="150"/>
    <n v="47.786755999999997"/>
    <n v="1578.5225660000001"/>
    <n v="190.390062"/>
    <n v="2532.645305"/>
    <n v="5313.4026899999999"/>
  </r>
  <r>
    <x v="3"/>
    <x v="19"/>
    <x v="21"/>
    <n v="0"/>
    <x v="151"/>
    <n v="2.6445530000000002"/>
    <n v="5.0173930000000002"/>
    <n v="0"/>
    <n v="56.750818000000002"/>
    <n v="91.439684999999997"/>
  </r>
  <r>
    <x v="2"/>
    <x v="27"/>
    <x v="21"/>
    <n v="37.122481000000001"/>
    <x v="152"/>
    <n v="49.899410000000003"/>
    <n v="1611.418719"/>
    <n v="49.802160999999998"/>
    <n v="2131.2760029999999"/>
    <n v="4778.4536680000001"/>
  </r>
  <r>
    <x v="3"/>
    <x v="28"/>
    <x v="21"/>
    <n v="0.105716"/>
    <x v="153"/>
    <n v="0.18368000000000001"/>
    <n v="2.310327"/>
    <n v="0.232986"/>
    <n v="13.672946"/>
    <n v="28.973587999999999"/>
  </r>
  <r>
    <x v="2"/>
    <x v="32"/>
    <x v="21"/>
    <n v="4.4438219999999999"/>
    <x v="154"/>
    <n v="16.556732"/>
    <n v="21.169589999999999"/>
    <n v="3.4027210000000001"/>
    <n v="326.910505"/>
    <n v="528.81990900000005"/>
  </r>
  <r>
    <x v="2"/>
    <x v="34"/>
    <x v="21"/>
    <n v="62.906911999999998"/>
    <x v="155"/>
    <n v="47.357740999999997"/>
    <n v="1576.165094"/>
    <n v="181.69610499999999"/>
    <n v="2564.7301219999999"/>
    <n v="5346.65067"/>
  </r>
  <r>
    <x v="0"/>
    <x v="68"/>
    <x v="22"/>
    <n v="0"/>
    <x v="156"/>
    <n v="3.7429999999999998E-3"/>
    <n v="1.755E-3"/>
    <n v="1.66E-4"/>
    <n v="2.0247999999999999E-2"/>
    <n v="4.3166999999999997E-2"/>
  </r>
  <r>
    <x v="3"/>
    <x v="19"/>
    <x v="22"/>
    <n v="0"/>
    <x v="157"/>
    <n v="1.711274"/>
    <n v="5.3640590000000001"/>
    <n v="0"/>
    <n v="52.508949000000001"/>
    <n v="85.654515000000004"/>
  </r>
  <r>
    <x v="2"/>
    <x v="27"/>
    <x v="22"/>
    <n v="36.993811000000001"/>
    <x v="158"/>
    <n v="50.779555000000002"/>
    <n v="1701.368635"/>
    <n v="25.032943"/>
    <n v="2007.8703089999999"/>
    <n v="4731.3239590000003"/>
  </r>
  <r>
    <x v="3"/>
    <x v="28"/>
    <x v="22"/>
    <n v="0.108029"/>
    <x v="159"/>
    <n v="0.26694600000000002"/>
    <n v="2.7885520000000001"/>
    <n v="0.241782"/>
    <n v="12.504498999999999"/>
    <n v="29.863558999999999"/>
  </r>
  <r>
    <x v="3"/>
    <x v="69"/>
    <x v="22"/>
    <n v="0"/>
    <x v="160"/>
    <n v="1.3480000000000001E-2"/>
    <n v="3.5140000000000002E-3"/>
    <n v="4.75E-4"/>
    <n v="7.1473999999999996E-2"/>
    <n v="0.263907"/>
  </r>
  <r>
    <x v="2"/>
    <x v="32"/>
    <x v="22"/>
    <n v="4.8318060000000003"/>
    <x v="161"/>
    <n v="16.928552"/>
    <n v="22.155963"/>
    <n v="3.7823349999999998"/>
    <n v="311.14353899999998"/>
    <n v="514.66497400000003"/>
  </r>
  <r>
    <x v="2"/>
    <x v="34"/>
    <x v="22"/>
    <n v="70.698425999999998"/>
    <x v="162"/>
    <n v="48.385438999999998"/>
    <n v="1586.8583980000001"/>
    <n v="218.61480800000001"/>
    <n v="2385.6428649999998"/>
    <n v="5207.547251"/>
  </r>
  <r>
    <x v="3"/>
    <x v="10"/>
    <x v="23"/>
    <n v="0"/>
    <x v="163"/>
    <n v="0"/>
    <n v="0"/>
    <n v="0"/>
    <n v="1.42323"/>
    <n v="2.34192"/>
  </r>
  <r>
    <x v="0"/>
    <x v="68"/>
    <x v="23"/>
    <n v="0"/>
    <x v="164"/>
    <n v="3.6570000000000001E-3"/>
    <n v="8.3699999999999996E-4"/>
    <n v="1.4100000000000001E-4"/>
    <n v="1.2519000000000001E-2"/>
    <n v="2.7675999999999999E-2"/>
  </r>
  <r>
    <x v="3"/>
    <x v="19"/>
    <x v="23"/>
    <n v="1.3551000000000001E-2"/>
    <x v="165"/>
    <n v="1.2540309999999999"/>
    <n v="5.8630649999999997"/>
    <n v="3.7141E-2"/>
    <n v="52.621155000000002"/>
    <n v="86.464365999999998"/>
  </r>
  <r>
    <x v="2"/>
    <x v="27"/>
    <x v="23"/>
    <n v="38.919449999999998"/>
    <x v="166"/>
    <n v="50.387588000000001"/>
    <n v="1700.494414"/>
    <n v="19.657696999999999"/>
    <n v="2053.7679119999998"/>
    <n v="4781.2186279999996"/>
  </r>
  <r>
    <x v="3"/>
    <x v="28"/>
    <x v="23"/>
    <n v="8.2693000000000003E-2"/>
    <x v="167"/>
    <n v="0.41828700000000002"/>
    <n v="1.6076509999999999"/>
    <n v="0.20583699999999999"/>
    <n v="11.225942"/>
    <n v="25.728072000000001"/>
  </r>
  <r>
    <x v="3"/>
    <x v="69"/>
    <x v="23"/>
    <n v="0"/>
    <x v="168"/>
    <n v="8.2199999999999999E-3"/>
    <n v="2.1926000000000001E-2"/>
    <n v="3.2000000000000003E-4"/>
    <n v="8.5402000000000006E-2"/>
    <n v="0.30599300000000001"/>
  </r>
  <r>
    <x v="2"/>
    <x v="32"/>
    <x v="23"/>
    <n v="4.0418729999999998"/>
    <x v="169"/>
    <n v="17.351108"/>
    <n v="21.736173999999998"/>
    <n v="3.9256500000000001"/>
    <n v="318.26924600000001"/>
    <n v="527.60590000000002"/>
  </r>
  <r>
    <x v="2"/>
    <x v="34"/>
    <x v="23"/>
    <n v="72.987438999999995"/>
    <x v="170"/>
    <n v="48.753743"/>
    <n v="1645.249104"/>
    <n v="245.464696"/>
    <n v="2473.3211099999999"/>
    <n v="5406.4151410000004"/>
  </r>
  <r>
    <x v="3"/>
    <x v="10"/>
    <x v="24"/>
    <n v="0"/>
    <x v="171"/>
    <n v="0"/>
    <n v="0"/>
    <n v="0"/>
    <n v="1.356535"/>
    <n v="2.2416459999999998"/>
  </r>
  <r>
    <x v="3"/>
    <x v="19"/>
    <x v="24"/>
    <n v="9.5253000000000004E-2"/>
    <x v="172"/>
    <n v="2.8600430000000001"/>
    <n v="6.0525589999999996"/>
    <n v="0.31275700000000001"/>
    <n v="42.748328999999998"/>
    <n v="74.152230000000003"/>
  </r>
  <r>
    <x v="2"/>
    <x v="27"/>
    <x v="24"/>
    <n v="34.091594999999998"/>
    <x v="173"/>
    <n v="59.732242999999997"/>
    <n v="1776.9981740000001"/>
    <n v="56.375402999999999"/>
    <n v="1665.154231"/>
    <n v="4401.8679519999996"/>
  </r>
  <r>
    <x v="3"/>
    <x v="28"/>
    <x v="24"/>
    <n v="5.5285000000000001E-2"/>
    <x v="174"/>
    <n v="0.470856"/>
    <n v="2.5492330000000001"/>
    <n v="0.233295"/>
    <n v="9.1798319999999993"/>
    <n v="26.457802000000001"/>
  </r>
  <r>
    <x v="3"/>
    <x v="69"/>
    <x v="24"/>
    <n v="0"/>
    <x v="175"/>
    <n v="5.3169999999999997E-3"/>
    <n v="3.5109000000000001E-2"/>
    <n v="7.0399999999999998E-4"/>
    <n v="9.8627999999999993E-2"/>
    <n v="0.359485"/>
  </r>
  <r>
    <x v="2"/>
    <x v="32"/>
    <x v="24"/>
    <n v="2.425122"/>
    <x v="176"/>
    <n v="15.007569999999999"/>
    <n v="20.460825"/>
    <n v="3.4335"/>
    <n v="256.54871600000001"/>
    <n v="450.99256000000003"/>
  </r>
  <r>
    <x v="2"/>
    <x v="34"/>
    <x v="24"/>
    <n v="72.052490000000006"/>
    <x v="177"/>
    <n v="48.721853000000003"/>
    <n v="1665.318317"/>
    <n v="260.43144599999999"/>
    <n v="2010.3457209999999"/>
    <n v="4899.1129259999998"/>
  </r>
  <r>
    <x v="3"/>
    <x v="10"/>
    <x v="25"/>
    <n v="0"/>
    <x v="178"/>
    <n v="0"/>
    <n v="0"/>
    <n v="0"/>
    <n v="0.82926999999999995"/>
    <n v="1.5091140000000001"/>
  </r>
  <r>
    <x v="3"/>
    <x v="70"/>
    <x v="25"/>
    <n v="3.0699999999999998E-4"/>
    <x v="179"/>
    <n v="1.3001E-2"/>
    <n v="1.152E-3"/>
    <n v="0"/>
    <n v="0.89309300000000003"/>
    <n v="1.8516250000000001"/>
  </r>
  <r>
    <x v="3"/>
    <x v="19"/>
    <x v="25"/>
    <n v="9.3718999999999997E-2"/>
    <x v="180"/>
    <n v="3.3710939999999998"/>
    <n v="5.9059280000000003"/>
    <n v="0.28933900000000001"/>
    <n v="44.430571"/>
    <n v="76.529335000000003"/>
  </r>
  <r>
    <x v="2"/>
    <x v="27"/>
    <x v="25"/>
    <n v="34.473832000000002"/>
    <x v="181"/>
    <n v="59.242269999999998"/>
    <n v="1762.3645919999999"/>
    <n v="56.187359999999998"/>
    <n v="1689.897545"/>
    <n v="4419.117929"/>
  </r>
  <r>
    <x v="3"/>
    <x v="28"/>
    <x v="25"/>
    <n v="3.4542999999999997E-2"/>
    <x v="182"/>
    <n v="0.65734800000000004"/>
    <n v="2.4301840000000001"/>
    <n v="0.215228"/>
    <n v="9.1405530000000006"/>
    <n v="25.727692999999999"/>
  </r>
  <r>
    <x v="3"/>
    <x v="69"/>
    <x v="25"/>
    <n v="0"/>
    <x v="183"/>
    <n v="2.2390000000000001E-3"/>
    <n v="5.9676E-2"/>
    <n v="0"/>
    <n v="0.129584"/>
    <n v="0.41786800000000002"/>
  </r>
  <r>
    <x v="2"/>
    <x v="32"/>
    <x v="25"/>
    <n v="2.4151259999999999"/>
    <x v="184"/>
    <n v="17.165002000000001"/>
    <n v="20.832650999999998"/>
    <n v="3.5194480000000001"/>
    <n v="255.613587"/>
    <n v="452.73965399999997"/>
  </r>
  <r>
    <x v="2"/>
    <x v="34"/>
    <x v="25"/>
    <n v="73.562828999999994"/>
    <x v="185"/>
    <n v="49.542411999999999"/>
    <n v="1617.569115"/>
    <n v="242.41347999999999"/>
    <n v="2037.9610029999999"/>
    <n v="4872.2100600000003"/>
  </r>
  <r>
    <x v="3"/>
    <x v="70"/>
    <x v="26"/>
    <n v="3.1500000000000001E-4"/>
    <x v="186"/>
    <n v="1.3433E-2"/>
    <n v="1.397E-3"/>
    <n v="0"/>
    <n v="1.029439"/>
    <n v="2.1125430000000001"/>
  </r>
  <r>
    <x v="3"/>
    <x v="19"/>
    <x v="26"/>
    <n v="0.112078"/>
    <x v="187"/>
    <n v="4.245063"/>
    <n v="6.7331950000000003"/>
    <n v="2.0877629999999998"/>
    <n v="44.832949999999997"/>
    <n v="81.172433999999996"/>
  </r>
  <r>
    <x v="2"/>
    <x v="27"/>
    <x v="26"/>
    <n v="36.082045000000001"/>
    <x v="188"/>
    <n v="63.120691000000001"/>
    <n v="1809.611046"/>
    <n v="69.707911999999993"/>
    <n v="1745.5257710000001"/>
    <n v="4566.9573890000001"/>
  </r>
  <r>
    <x v="3"/>
    <x v="28"/>
    <x v="26"/>
    <n v="6.1855E-2"/>
    <x v="189"/>
    <n v="0.66127800000000003"/>
    <n v="2.5379049999999999"/>
    <n v="0.13327700000000001"/>
    <n v="9.3930229999999995"/>
    <n v="26.671526"/>
  </r>
  <r>
    <x v="3"/>
    <x v="69"/>
    <x v="26"/>
    <n v="0"/>
    <x v="190"/>
    <n v="6.28E-3"/>
    <n v="7.7780000000000002E-3"/>
    <n v="6.7000000000000002E-5"/>
    <n v="0.128609"/>
    <n v="0.39495599999999997"/>
  </r>
  <r>
    <x v="2"/>
    <x v="32"/>
    <x v="26"/>
    <n v="3.1344430000000001"/>
    <x v="191"/>
    <n v="17.631777"/>
    <n v="21.347452000000001"/>
    <n v="3.1499950000000001"/>
    <n v="268.964313"/>
    <n v="472.76449700000001"/>
  </r>
  <r>
    <x v="2"/>
    <x v="34"/>
    <x v="26"/>
    <n v="77.039801999999995"/>
    <x v="192"/>
    <n v="56.758217000000002"/>
    <n v="1724.8531519999999"/>
    <n v="236.79325299999999"/>
    <n v="2136.193698"/>
    <n v="5124.1464530000003"/>
  </r>
  <r>
    <x v="3"/>
    <x v="71"/>
    <x v="26"/>
    <n v="0"/>
    <x v="193"/>
    <n v="0.17436399999999999"/>
    <n v="7.8043930000000001"/>
    <n v="0"/>
    <n v="1.474E-3"/>
    <n v="8.5951900000000006"/>
  </r>
  <r>
    <x v="3"/>
    <x v="70"/>
    <x v="27"/>
    <n v="5.4500000000000002E-4"/>
    <x v="194"/>
    <n v="1.4899000000000001E-2"/>
    <n v="1.361E-3"/>
    <n v="0"/>
    <n v="1.289169"/>
    <n v="2.4362740000000001"/>
  </r>
  <r>
    <x v="3"/>
    <x v="19"/>
    <x v="27"/>
    <n v="0.113733"/>
    <x v="195"/>
    <n v="6.3715330000000003"/>
    <n v="7.4312519999999997"/>
    <n v="8.4513269999999991"/>
    <n v="44.517493999999999"/>
    <n v="89.289427000000003"/>
  </r>
  <r>
    <x v="2"/>
    <x v="27"/>
    <x v="27"/>
    <n v="36.396563999999998"/>
    <x v="196"/>
    <n v="67.958641"/>
    <n v="1701.3355610000001"/>
    <n v="170.81549100000001"/>
    <n v="1873.364268"/>
    <n v="4714.6803280000004"/>
  </r>
  <r>
    <x v="3"/>
    <x v="28"/>
    <x v="27"/>
    <n v="4.6864999999999997E-2"/>
    <x v="197"/>
    <n v="0.65757399999999999"/>
    <n v="2.482405"/>
    <n v="0.12565200000000001"/>
    <n v="10.199024"/>
    <n v="28.303366"/>
  </r>
  <r>
    <x v="3"/>
    <x v="69"/>
    <x v="27"/>
    <n v="0"/>
    <x v="198"/>
    <n v="1.6501999999999999E-2"/>
    <n v="4.3251999999999999E-2"/>
    <n v="2.3609999999999998E-3"/>
    <n v="0.13691700000000001"/>
    <n v="0.455036"/>
  </r>
  <r>
    <x v="2"/>
    <x v="32"/>
    <x v="27"/>
    <n v="3.195573"/>
    <x v="199"/>
    <n v="17.149325000000001"/>
    <n v="20.101223999999998"/>
    <n v="3.3499490000000001"/>
    <n v="272.77965699999999"/>
    <n v="479.81911200000002"/>
  </r>
  <r>
    <x v="2"/>
    <x v="34"/>
    <x v="27"/>
    <n v="69.433349000000007"/>
    <x v="200"/>
    <n v="72.182936999999995"/>
    <n v="1716.5670950000001"/>
    <n v="229.745824"/>
    <n v="2158.0529069999998"/>
    <n v="5141.8438859999997"/>
  </r>
  <r>
    <x v="3"/>
    <x v="71"/>
    <x v="27"/>
    <n v="0"/>
    <x v="201"/>
    <n v="1.1272740000000001"/>
    <n v="52.769260000000003"/>
    <n v="0"/>
    <n v="1.2024999999999999E-2"/>
    <n v="58.917062999999999"/>
  </r>
  <r>
    <x v="4"/>
    <x v="72"/>
    <x v="0"/>
    <n v="0.262799"/>
    <x v="1"/>
    <n v="0"/>
    <n v="0"/>
    <n v="0"/>
    <n v="0"/>
    <n v="0.262799"/>
  </r>
  <r>
    <x v="4"/>
    <x v="72"/>
    <x v="1"/>
    <n v="0.25663200000000003"/>
    <x v="1"/>
    <n v="0"/>
    <n v="0"/>
    <n v="0"/>
    <n v="0"/>
    <n v="0.25663200000000003"/>
  </r>
  <r>
    <x v="4"/>
    <x v="72"/>
    <x v="2"/>
    <n v="0.18455199999999999"/>
    <x v="1"/>
    <n v="0"/>
    <n v="0"/>
    <n v="0"/>
    <n v="0"/>
    <n v="0.18455199999999999"/>
  </r>
  <r>
    <x v="4"/>
    <x v="72"/>
    <x v="3"/>
    <n v="0.176707"/>
    <x v="1"/>
    <n v="0"/>
    <n v="0"/>
    <n v="0"/>
    <n v="0"/>
    <n v="0.176707"/>
  </r>
  <r>
    <x v="4"/>
    <x v="72"/>
    <x v="4"/>
    <n v="0.18854299999999999"/>
    <x v="1"/>
    <n v="0"/>
    <n v="0"/>
    <n v="0"/>
    <n v="0"/>
    <n v="0.18854299999999999"/>
  </r>
  <r>
    <x v="4"/>
    <x v="72"/>
    <x v="5"/>
    <n v="0.14730799999999999"/>
    <x v="1"/>
    <n v="0"/>
    <n v="0"/>
    <n v="0"/>
    <n v="0"/>
    <n v="0.14730799999999999"/>
  </r>
  <r>
    <x v="4"/>
    <x v="72"/>
    <x v="6"/>
    <n v="0.25834499999999999"/>
    <x v="1"/>
    <n v="0"/>
    <n v="0"/>
    <n v="0"/>
    <n v="0"/>
    <n v="0.25834499999999999"/>
  </r>
  <r>
    <x v="4"/>
    <x v="72"/>
    <x v="7"/>
    <n v="0.24748300000000001"/>
    <x v="1"/>
    <n v="0"/>
    <n v="0"/>
    <n v="0"/>
    <n v="0"/>
    <n v="0.24748300000000001"/>
  </r>
  <r>
    <x v="4"/>
    <x v="72"/>
    <x v="8"/>
    <n v="0.17943000000000001"/>
    <x v="1"/>
    <n v="0"/>
    <n v="0"/>
    <n v="0"/>
    <n v="0"/>
    <n v="0.17943000000000001"/>
  </r>
  <r>
    <x v="4"/>
    <x v="72"/>
    <x v="9"/>
    <n v="0.213474"/>
    <x v="1"/>
    <n v="0"/>
    <n v="0"/>
    <n v="0"/>
    <n v="0"/>
    <n v="0.213474"/>
  </r>
  <r>
    <x v="4"/>
    <x v="72"/>
    <x v="10"/>
    <n v="0.17144799999999999"/>
    <x v="1"/>
    <n v="0"/>
    <n v="0"/>
    <n v="0"/>
    <n v="0"/>
    <n v="0.17144799999999999"/>
  </r>
  <r>
    <x v="4"/>
    <x v="72"/>
    <x v="11"/>
    <n v="0.15426200000000001"/>
    <x v="1"/>
    <n v="0"/>
    <n v="0"/>
    <n v="0"/>
    <n v="0"/>
    <n v="0.15426200000000001"/>
  </r>
  <r>
    <x v="4"/>
    <x v="72"/>
    <x v="12"/>
    <n v="0.17281099999999999"/>
    <x v="1"/>
    <n v="0"/>
    <n v="0"/>
    <n v="0"/>
    <n v="0"/>
    <n v="0.17281099999999999"/>
  </r>
  <r>
    <x v="4"/>
    <x v="72"/>
    <x v="13"/>
    <n v="0.15365200000000001"/>
    <x v="1"/>
    <n v="0"/>
    <n v="0"/>
    <n v="0"/>
    <n v="0"/>
    <n v="0.15365200000000001"/>
  </r>
  <r>
    <x v="4"/>
    <x v="72"/>
    <x v="14"/>
    <n v="0.54689600000000005"/>
    <x v="1"/>
    <n v="0"/>
    <n v="0"/>
    <n v="0"/>
    <n v="0"/>
    <n v="0.54689600000000005"/>
  </r>
  <r>
    <x v="4"/>
    <x v="72"/>
    <x v="15"/>
    <n v="0.28424199999999999"/>
    <x v="1"/>
    <n v="0"/>
    <n v="0"/>
    <n v="0"/>
    <n v="0"/>
    <n v="0.28424199999999999"/>
  </r>
  <r>
    <x v="4"/>
    <x v="72"/>
    <x v="16"/>
    <n v="8.5457000000000005E-2"/>
    <x v="1"/>
    <n v="0"/>
    <n v="0"/>
    <n v="0"/>
    <n v="0"/>
    <n v="8.5457000000000005E-2"/>
  </r>
  <r>
    <x v="4"/>
    <x v="72"/>
    <x v="17"/>
    <n v="0.112819"/>
    <x v="1"/>
    <n v="0"/>
    <n v="0"/>
    <n v="0"/>
    <n v="0"/>
    <n v="0.112819"/>
  </r>
  <r>
    <x v="4"/>
    <x v="72"/>
    <x v="18"/>
    <n v="8.4254999999999997E-2"/>
    <x v="1"/>
    <n v="0"/>
    <n v="0"/>
    <n v="0"/>
    <n v="0"/>
    <n v="8.4254999999999997E-2"/>
  </r>
  <r>
    <x v="4"/>
    <x v="72"/>
    <x v="19"/>
    <n v="0.105908"/>
    <x v="1"/>
    <n v="0"/>
    <n v="0"/>
    <n v="0"/>
    <n v="0"/>
    <n v="0.105908"/>
  </r>
  <r>
    <x v="4"/>
    <x v="72"/>
    <x v="20"/>
    <n v="8.7387999999999993E-2"/>
    <x v="1"/>
    <n v="0"/>
    <n v="0"/>
    <n v="0"/>
    <n v="0"/>
    <n v="8.7387999999999993E-2"/>
  </r>
  <r>
    <x v="4"/>
    <x v="72"/>
    <x v="21"/>
    <n v="8.0870999999999998E-2"/>
    <x v="1"/>
    <n v="0"/>
    <n v="0"/>
    <n v="0"/>
    <n v="0"/>
    <n v="8.0870999999999998E-2"/>
  </r>
  <r>
    <x v="4"/>
    <x v="72"/>
    <x v="22"/>
    <n v="6.8371000000000001E-2"/>
    <x v="1"/>
    <n v="0"/>
    <n v="0"/>
    <n v="0"/>
    <n v="0"/>
    <n v="6.8371000000000001E-2"/>
  </r>
  <r>
    <x v="4"/>
    <x v="72"/>
    <x v="23"/>
    <n v="6.9100999999999996E-2"/>
    <x v="1"/>
    <n v="0"/>
    <n v="0"/>
    <n v="0"/>
    <n v="0"/>
    <n v="6.9100999999999996E-2"/>
  </r>
  <r>
    <x v="4"/>
    <x v="72"/>
    <x v="24"/>
    <n v="6.3289999999999999E-2"/>
    <x v="1"/>
    <n v="0"/>
    <n v="0"/>
    <n v="0"/>
    <n v="0"/>
    <n v="6.3289999999999999E-2"/>
  </r>
  <r>
    <x v="4"/>
    <x v="72"/>
    <x v="25"/>
    <n v="7.3441000000000006E-2"/>
    <x v="1"/>
    <n v="0"/>
    <n v="0"/>
    <n v="0"/>
    <n v="0"/>
    <n v="7.3441000000000006E-2"/>
  </r>
  <r>
    <x v="4"/>
    <x v="72"/>
    <x v="26"/>
    <n v="6.8292000000000005E-2"/>
    <x v="1"/>
    <n v="0"/>
    <n v="0"/>
    <n v="0"/>
    <n v="0"/>
    <n v="6.8292000000000005E-2"/>
  </r>
  <r>
    <x v="4"/>
    <x v="72"/>
    <x v="27"/>
    <n v="6.8174999999999999E-2"/>
    <x v="1"/>
    <n v="0"/>
    <n v="0"/>
    <n v="0"/>
    <n v="0"/>
    <n v="6.8174999999999999E-2"/>
  </r>
  <r>
    <x v="4"/>
    <x v="72"/>
    <x v="0"/>
    <n v="0"/>
    <x v="202"/>
    <n v="0"/>
    <n v="0"/>
    <n v="0"/>
    <n v="0"/>
    <n v="12.838578999999999"/>
  </r>
  <r>
    <x v="4"/>
    <x v="72"/>
    <x v="1"/>
    <n v="0"/>
    <x v="203"/>
    <n v="0"/>
    <n v="0"/>
    <n v="0"/>
    <n v="0"/>
    <n v="15.532095999999999"/>
  </r>
  <r>
    <x v="4"/>
    <x v="72"/>
    <x v="2"/>
    <n v="0"/>
    <x v="204"/>
    <n v="0"/>
    <n v="0"/>
    <n v="0"/>
    <n v="0"/>
    <n v="11.986488"/>
  </r>
  <r>
    <x v="4"/>
    <x v="72"/>
    <x v="3"/>
    <n v="0"/>
    <x v="205"/>
    <n v="0"/>
    <n v="0"/>
    <n v="0"/>
    <n v="0"/>
    <n v="12.562552999999999"/>
  </r>
  <r>
    <x v="4"/>
    <x v="72"/>
    <x v="4"/>
    <n v="0"/>
    <x v="206"/>
    <n v="0"/>
    <n v="0"/>
    <n v="0"/>
    <n v="0"/>
    <n v="12.355816000000001"/>
  </r>
  <r>
    <x v="4"/>
    <x v="72"/>
    <x v="5"/>
    <n v="0"/>
    <x v="207"/>
    <n v="0"/>
    <n v="0"/>
    <n v="0"/>
    <n v="0"/>
    <n v="8.9680420000000005"/>
  </r>
  <r>
    <x v="4"/>
    <x v="72"/>
    <x v="6"/>
    <n v="0"/>
    <x v="208"/>
    <n v="0"/>
    <n v="0"/>
    <n v="0"/>
    <n v="0"/>
    <n v="12.269354999999999"/>
  </r>
  <r>
    <x v="4"/>
    <x v="72"/>
    <x v="7"/>
    <n v="0"/>
    <x v="209"/>
    <n v="0"/>
    <n v="0"/>
    <n v="0"/>
    <n v="0"/>
    <n v="14.981498"/>
  </r>
  <r>
    <x v="4"/>
    <x v="72"/>
    <x v="8"/>
    <n v="0"/>
    <x v="210"/>
    <n v="0"/>
    <n v="0"/>
    <n v="0"/>
    <n v="0"/>
    <n v="18.441240000000001"/>
  </r>
  <r>
    <x v="4"/>
    <x v="72"/>
    <x v="9"/>
    <n v="0"/>
    <x v="211"/>
    <n v="0"/>
    <n v="0"/>
    <n v="0"/>
    <n v="0"/>
    <n v="17.287158000000002"/>
  </r>
  <r>
    <x v="4"/>
    <x v="72"/>
    <x v="10"/>
    <n v="0"/>
    <x v="212"/>
    <n v="0"/>
    <n v="0"/>
    <n v="0"/>
    <n v="0"/>
    <n v="16.591564000000002"/>
  </r>
  <r>
    <x v="4"/>
    <x v="72"/>
    <x v="11"/>
    <n v="0"/>
    <x v="213"/>
    <n v="0"/>
    <n v="0"/>
    <n v="0"/>
    <n v="0"/>
    <n v="14.351115"/>
  </r>
  <r>
    <x v="4"/>
    <x v="72"/>
    <x v="12"/>
    <n v="0"/>
    <x v="214"/>
    <n v="0"/>
    <n v="0"/>
    <n v="0"/>
    <n v="0"/>
    <n v="15.292441"/>
  </r>
  <r>
    <x v="4"/>
    <x v="72"/>
    <x v="13"/>
    <n v="0"/>
    <x v="215"/>
    <n v="0"/>
    <n v="0"/>
    <n v="0"/>
    <n v="0"/>
    <n v="20.420157"/>
  </r>
  <r>
    <x v="4"/>
    <x v="72"/>
    <x v="14"/>
    <n v="0"/>
    <x v="216"/>
    <n v="0"/>
    <n v="0"/>
    <n v="0"/>
    <n v="0"/>
    <n v="24.664023"/>
  </r>
  <r>
    <x v="4"/>
    <x v="72"/>
    <x v="15"/>
    <n v="0"/>
    <x v="217"/>
    <n v="0"/>
    <n v="0"/>
    <n v="0"/>
    <n v="0"/>
    <n v="22.914579"/>
  </r>
  <r>
    <x v="4"/>
    <x v="72"/>
    <x v="16"/>
    <n v="0"/>
    <x v="218"/>
    <n v="0"/>
    <n v="0"/>
    <n v="0"/>
    <n v="0"/>
    <n v="33.068438999999998"/>
  </r>
  <r>
    <x v="4"/>
    <x v="72"/>
    <x v="17"/>
    <n v="0"/>
    <x v="219"/>
    <n v="0"/>
    <n v="0"/>
    <n v="0"/>
    <n v="0"/>
    <n v="33.301971999999999"/>
  </r>
  <r>
    <x v="4"/>
    <x v="72"/>
    <x v="18"/>
    <n v="0"/>
    <x v="220"/>
    <n v="0"/>
    <n v="0"/>
    <n v="0"/>
    <n v="0"/>
    <n v="30.26681"/>
  </r>
  <r>
    <x v="4"/>
    <x v="72"/>
    <x v="19"/>
    <n v="0"/>
    <x v="221"/>
    <n v="0"/>
    <n v="0"/>
    <n v="0"/>
    <n v="0"/>
    <n v="32.901736999999997"/>
  </r>
  <r>
    <x v="4"/>
    <x v="72"/>
    <x v="20"/>
    <n v="0"/>
    <x v="222"/>
    <n v="0"/>
    <n v="0"/>
    <n v="0"/>
    <n v="0"/>
    <n v="31.190567000000001"/>
  </r>
  <r>
    <x v="4"/>
    <x v="72"/>
    <x v="21"/>
    <n v="0"/>
    <x v="223"/>
    <n v="0"/>
    <n v="0"/>
    <n v="0"/>
    <n v="0"/>
    <n v="31.805211"/>
  </r>
  <r>
    <x v="4"/>
    <x v="72"/>
    <x v="22"/>
    <n v="0"/>
    <x v="224"/>
    <n v="0"/>
    <n v="0"/>
    <n v="0"/>
    <n v="0"/>
    <n v="29.701974"/>
  </r>
  <r>
    <x v="4"/>
    <x v="72"/>
    <x v="23"/>
    <n v="0"/>
    <x v="225"/>
    <n v="0"/>
    <n v="0"/>
    <n v="0"/>
    <n v="0"/>
    <n v="30.914988000000001"/>
  </r>
  <r>
    <x v="4"/>
    <x v="72"/>
    <x v="24"/>
    <n v="0"/>
    <x v="226"/>
    <n v="0"/>
    <n v="0"/>
    <n v="0"/>
    <n v="0"/>
    <n v="28.793589000000001"/>
  </r>
  <r>
    <x v="4"/>
    <x v="72"/>
    <x v="25"/>
    <n v="0"/>
    <x v="227"/>
    <n v="0"/>
    <n v="0"/>
    <n v="0"/>
    <n v="0"/>
    <n v="29.868231999999999"/>
  </r>
  <r>
    <x v="4"/>
    <x v="72"/>
    <x v="26"/>
    <n v="0"/>
    <x v="228"/>
    <n v="0"/>
    <n v="0"/>
    <n v="0"/>
    <n v="0"/>
    <n v="30.162979"/>
  </r>
  <r>
    <x v="4"/>
    <x v="72"/>
    <x v="27"/>
    <n v="0"/>
    <x v="229"/>
    <n v="0"/>
    <n v="0"/>
    <n v="0"/>
    <n v="0"/>
    <n v="31.447499000000001"/>
  </r>
  <r>
    <x v="4"/>
    <x v="72"/>
    <x v="0"/>
    <n v="0"/>
    <x v="1"/>
    <n v="0"/>
    <n v="0.59949300000000005"/>
    <n v="0"/>
    <n v="0"/>
    <n v="0.59949300000000005"/>
  </r>
  <r>
    <x v="4"/>
    <x v="72"/>
    <x v="1"/>
    <n v="0"/>
    <x v="1"/>
    <n v="0"/>
    <n v="0.82508700000000001"/>
    <n v="0"/>
    <n v="0"/>
    <n v="0.82508700000000001"/>
  </r>
  <r>
    <x v="4"/>
    <x v="72"/>
    <x v="2"/>
    <n v="0"/>
    <x v="1"/>
    <n v="0"/>
    <n v="7.7634889999999999"/>
    <n v="0"/>
    <n v="0"/>
    <n v="7.7634889999999999"/>
  </r>
  <r>
    <x v="4"/>
    <x v="72"/>
    <x v="3"/>
    <n v="0"/>
    <x v="1"/>
    <n v="0"/>
    <n v="9.8292389999999994"/>
    <n v="0"/>
    <n v="0"/>
    <n v="9.8292389999999994"/>
  </r>
  <r>
    <x v="4"/>
    <x v="72"/>
    <x v="4"/>
    <n v="0"/>
    <x v="1"/>
    <n v="0"/>
    <n v="8.4853050000000003"/>
    <n v="0"/>
    <n v="0"/>
    <n v="8.4853050000000003"/>
  </r>
  <r>
    <x v="4"/>
    <x v="72"/>
    <x v="5"/>
    <n v="0"/>
    <x v="1"/>
    <n v="0"/>
    <n v="10.691739"/>
    <n v="0"/>
    <n v="0"/>
    <n v="10.691739"/>
  </r>
  <r>
    <x v="4"/>
    <x v="72"/>
    <x v="6"/>
    <n v="0"/>
    <x v="1"/>
    <n v="0"/>
    <n v="15.521455"/>
    <n v="0"/>
    <n v="0"/>
    <n v="15.521455"/>
  </r>
  <r>
    <x v="4"/>
    <x v="72"/>
    <x v="7"/>
    <n v="0"/>
    <x v="1"/>
    <n v="0"/>
    <n v="17.436069"/>
    <n v="0"/>
    <n v="0"/>
    <n v="17.436069"/>
  </r>
  <r>
    <x v="4"/>
    <x v="72"/>
    <x v="8"/>
    <n v="0"/>
    <x v="1"/>
    <n v="0"/>
    <n v="14.02373"/>
    <n v="0"/>
    <n v="0"/>
    <n v="14.02373"/>
  </r>
  <r>
    <x v="4"/>
    <x v="72"/>
    <x v="9"/>
    <n v="0"/>
    <x v="1"/>
    <n v="0"/>
    <n v="17.211617"/>
    <n v="0"/>
    <n v="0"/>
    <n v="17.211617"/>
  </r>
  <r>
    <x v="4"/>
    <x v="72"/>
    <x v="10"/>
    <n v="0"/>
    <x v="1"/>
    <n v="0"/>
    <n v="20.443619000000002"/>
    <n v="0"/>
    <n v="0"/>
    <n v="20.443619000000002"/>
  </r>
  <r>
    <x v="4"/>
    <x v="72"/>
    <x v="11"/>
    <n v="0"/>
    <x v="1"/>
    <n v="0"/>
    <n v="14.890981999999999"/>
    <n v="0"/>
    <n v="0"/>
    <n v="14.890981999999999"/>
  </r>
  <r>
    <x v="4"/>
    <x v="72"/>
    <x v="12"/>
    <n v="0"/>
    <x v="1"/>
    <n v="0"/>
    <n v="16.963170000000002"/>
    <n v="0"/>
    <n v="0"/>
    <n v="16.963170000000002"/>
  </r>
  <r>
    <x v="4"/>
    <x v="72"/>
    <x v="13"/>
    <n v="0"/>
    <x v="1"/>
    <n v="0"/>
    <n v="15.777010000000001"/>
    <n v="0"/>
    <n v="0"/>
    <n v="15.777010000000001"/>
  </r>
  <r>
    <x v="4"/>
    <x v="72"/>
    <x v="14"/>
    <n v="0"/>
    <x v="1"/>
    <n v="0"/>
    <n v="8.1837520000000001"/>
    <n v="0"/>
    <n v="0"/>
    <n v="8.1837520000000001"/>
  </r>
  <r>
    <x v="4"/>
    <x v="72"/>
    <x v="15"/>
    <n v="0"/>
    <x v="1"/>
    <n v="0"/>
    <n v="1.783158"/>
    <n v="0"/>
    <n v="0"/>
    <n v="1.783158"/>
  </r>
  <r>
    <x v="4"/>
    <x v="72"/>
    <x v="16"/>
    <n v="0"/>
    <x v="1"/>
    <n v="0"/>
    <n v="6.7609009999999996"/>
    <n v="0"/>
    <n v="0"/>
    <n v="6.7609009999999996"/>
  </r>
  <r>
    <x v="4"/>
    <x v="72"/>
    <x v="17"/>
    <n v="0"/>
    <x v="1"/>
    <n v="0"/>
    <n v="1.6506000000000001"/>
    <n v="0"/>
    <n v="0"/>
    <n v="1.6506000000000001"/>
  </r>
  <r>
    <x v="4"/>
    <x v="72"/>
    <x v="18"/>
    <n v="0"/>
    <x v="1"/>
    <n v="0"/>
    <n v="3.8350010000000001"/>
    <n v="0"/>
    <n v="0"/>
    <n v="3.8350010000000001"/>
  </r>
  <r>
    <x v="4"/>
    <x v="72"/>
    <x v="19"/>
    <n v="0"/>
    <x v="1"/>
    <n v="0"/>
    <n v="2.3300839999999998"/>
    <n v="0"/>
    <n v="0"/>
    <n v="2.3300839999999998"/>
  </r>
  <r>
    <x v="4"/>
    <x v="72"/>
    <x v="20"/>
    <n v="0"/>
    <x v="1"/>
    <n v="0"/>
    <n v="2.4432960000000001"/>
    <n v="0"/>
    <n v="0"/>
    <n v="2.4432960000000001"/>
  </r>
  <r>
    <x v="4"/>
    <x v="72"/>
    <x v="21"/>
    <n v="0"/>
    <x v="1"/>
    <n v="0"/>
    <n v="4.0542470000000002"/>
    <n v="0"/>
    <n v="0"/>
    <n v="4.0542470000000002"/>
  </r>
  <r>
    <x v="4"/>
    <x v="72"/>
    <x v="22"/>
    <n v="0"/>
    <x v="1"/>
    <n v="0"/>
    <n v="4.0877800000000004"/>
    <n v="0"/>
    <n v="0"/>
    <n v="4.0877800000000004"/>
  </r>
  <r>
    <x v="4"/>
    <x v="72"/>
    <x v="23"/>
    <n v="0"/>
    <x v="1"/>
    <n v="0"/>
    <n v="5.3142469999999999"/>
    <n v="0"/>
    <n v="0"/>
    <n v="5.3142469999999999"/>
  </r>
  <r>
    <x v="4"/>
    <x v="72"/>
    <x v="24"/>
    <n v="0"/>
    <x v="1"/>
    <n v="0"/>
    <n v="5.221635"/>
    <n v="0"/>
    <n v="0"/>
    <n v="5.221635"/>
  </r>
  <r>
    <x v="4"/>
    <x v="72"/>
    <x v="25"/>
    <n v="0"/>
    <x v="1"/>
    <n v="0"/>
    <n v="5.4429990000000004"/>
    <n v="0"/>
    <n v="0"/>
    <n v="5.4429990000000004"/>
  </r>
  <r>
    <x v="4"/>
    <x v="72"/>
    <x v="26"/>
    <n v="0"/>
    <x v="1"/>
    <n v="0"/>
    <n v="6.3196940000000001"/>
    <n v="0"/>
    <n v="0"/>
    <n v="6.3196940000000001"/>
  </r>
  <r>
    <x v="4"/>
    <x v="72"/>
    <x v="27"/>
    <n v="0"/>
    <x v="1"/>
    <n v="0"/>
    <n v="6.5526989999999996"/>
    <n v="0"/>
    <n v="0"/>
    <n v="6.5526989999999996"/>
  </r>
  <r>
    <x v="4"/>
    <x v="72"/>
    <x v="0"/>
    <n v="0"/>
    <x v="1"/>
    <n v="0"/>
    <n v="0"/>
    <n v="0.56249800000000005"/>
    <n v="0"/>
    <n v="0.56249800000000005"/>
  </r>
  <r>
    <x v="4"/>
    <x v="72"/>
    <x v="1"/>
    <n v="0"/>
    <x v="1"/>
    <n v="0"/>
    <n v="0"/>
    <n v="0.67619300000000004"/>
    <n v="0"/>
    <n v="0.67619300000000004"/>
  </r>
  <r>
    <x v="4"/>
    <x v="72"/>
    <x v="2"/>
    <n v="0"/>
    <x v="1"/>
    <n v="0"/>
    <n v="0"/>
    <n v="0.55593099999999995"/>
    <n v="0"/>
    <n v="0.55593099999999995"/>
  </r>
  <r>
    <x v="4"/>
    <x v="72"/>
    <x v="3"/>
    <n v="0"/>
    <x v="1"/>
    <n v="0"/>
    <n v="0"/>
    <n v="0.487653"/>
    <n v="0"/>
    <n v="0.487653"/>
  </r>
  <r>
    <x v="4"/>
    <x v="72"/>
    <x v="4"/>
    <n v="0"/>
    <x v="1"/>
    <n v="0"/>
    <n v="0"/>
    <n v="3.1635019999999998"/>
    <n v="0"/>
    <n v="3.1635019999999998"/>
  </r>
  <r>
    <x v="4"/>
    <x v="72"/>
    <x v="5"/>
    <n v="0"/>
    <x v="1"/>
    <n v="0"/>
    <n v="0"/>
    <n v="4.3976480000000002"/>
    <n v="0"/>
    <n v="4.3976480000000002"/>
  </r>
  <r>
    <x v="4"/>
    <x v="72"/>
    <x v="6"/>
    <n v="0"/>
    <x v="1"/>
    <n v="0"/>
    <n v="0"/>
    <n v="3.662439"/>
    <n v="0"/>
    <n v="3.662439"/>
  </r>
  <r>
    <x v="4"/>
    <x v="72"/>
    <x v="7"/>
    <n v="0"/>
    <x v="1"/>
    <n v="0"/>
    <n v="0"/>
    <n v="3.5443199999999999"/>
    <n v="0"/>
    <n v="3.5443199999999999"/>
  </r>
  <r>
    <x v="4"/>
    <x v="72"/>
    <x v="8"/>
    <n v="0"/>
    <x v="1"/>
    <n v="0"/>
    <n v="0"/>
    <n v="2.8891200000000001"/>
    <n v="0"/>
    <n v="2.8891200000000001"/>
  </r>
  <r>
    <x v="4"/>
    <x v="72"/>
    <x v="9"/>
    <n v="0"/>
    <x v="1"/>
    <n v="0"/>
    <n v="0"/>
    <n v="4.3159210000000003"/>
    <n v="0"/>
    <n v="4.3159210000000003"/>
  </r>
  <r>
    <x v="4"/>
    <x v="72"/>
    <x v="10"/>
    <n v="0"/>
    <x v="1"/>
    <n v="0"/>
    <n v="0"/>
    <n v="3.6328130000000001"/>
    <n v="0"/>
    <n v="3.6328130000000001"/>
  </r>
  <r>
    <x v="4"/>
    <x v="72"/>
    <x v="11"/>
    <n v="0"/>
    <x v="1"/>
    <n v="0"/>
    <n v="0"/>
    <n v="2.3551319999999998"/>
    <n v="0"/>
    <n v="2.3551319999999998"/>
  </r>
  <r>
    <x v="4"/>
    <x v="72"/>
    <x v="12"/>
    <n v="0"/>
    <x v="1"/>
    <n v="0"/>
    <n v="0"/>
    <n v="3.12052"/>
    <n v="0"/>
    <n v="3.12052"/>
  </r>
  <r>
    <x v="4"/>
    <x v="72"/>
    <x v="13"/>
    <n v="0"/>
    <x v="1"/>
    <n v="0"/>
    <n v="0"/>
    <n v="3.8903780000000001"/>
    <n v="0"/>
    <n v="3.8903780000000001"/>
  </r>
  <r>
    <x v="4"/>
    <x v="72"/>
    <x v="14"/>
    <n v="0"/>
    <x v="1"/>
    <n v="0"/>
    <n v="0"/>
    <n v="3.14053"/>
    <n v="0"/>
    <n v="3.14053"/>
  </r>
  <r>
    <x v="4"/>
    <x v="72"/>
    <x v="15"/>
    <n v="0"/>
    <x v="1"/>
    <n v="0"/>
    <n v="0"/>
    <n v="1.140449"/>
    <n v="0"/>
    <n v="1.140449"/>
  </r>
  <r>
    <x v="4"/>
    <x v="72"/>
    <x v="16"/>
    <n v="0"/>
    <x v="1"/>
    <n v="0"/>
    <n v="0"/>
    <n v="1.6598440000000001"/>
    <n v="0"/>
    <n v="1.6598440000000001"/>
  </r>
  <r>
    <x v="4"/>
    <x v="72"/>
    <x v="17"/>
    <n v="0"/>
    <x v="1"/>
    <n v="0"/>
    <n v="0"/>
    <n v="7.4803999999999995E-2"/>
    <n v="0"/>
    <n v="7.4803999999999995E-2"/>
  </r>
  <r>
    <x v="4"/>
    <x v="72"/>
    <x v="18"/>
    <n v="0"/>
    <x v="1"/>
    <n v="0"/>
    <n v="0"/>
    <n v="0.95577100000000004"/>
    <n v="0"/>
    <n v="0.95577100000000004"/>
  </r>
  <r>
    <x v="4"/>
    <x v="72"/>
    <x v="19"/>
    <n v="0"/>
    <x v="1"/>
    <n v="0"/>
    <n v="0"/>
    <n v="0.985931"/>
    <n v="0"/>
    <n v="0.985931"/>
  </r>
  <r>
    <x v="4"/>
    <x v="72"/>
    <x v="20"/>
    <n v="0"/>
    <x v="1"/>
    <n v="0"/>
    <n v="0"/>
    <n v="1.052816"/>
    <n v="0"/>
    <n v="1.052816"/>
  </r>
  <r>
    <x v="4"/>
    <x v="72"/>
    <x v="21"/>
    <n v="0"/>
    <x v="1"/>
    <n v="0"/>
    <n v="0"/>
    <n v="0.93173700000000004"/>
    <n v="0"/>
    <n v="0.93173700000000004"/>
  </r>
  <r>
    <x v="4"/>
    <x v="72"/>
    <x v="22"/>
    <n v="0"/>
    <x v="1"/>
    <n v="0"/>
    <n v="0"/>
    <n v="0.59706199999999998"/>
    <n v="0"/>
    <n v="0.59706199999999998"/>
  </r>
  <r>
    <x v="4"/>
    <x v="72"/>
    <x v="23"/>
    <n v="0"/>
    <x v="1"/>
    <n v="0"/>
    <n v="0"/>
    <n v="0.64281999999999995"/>
    <n v="0"/>
    <n v="0.64281999999999995"/>
  </r>
  <r>
    <x v="4"/>
    <x v="72"/>
    <x v="24"/>
    <n v="0"/>
    <x v="1"/>
    <n v="0"/>
    <n v="0"/>
    <n v="0.52168499999999995"/>
    <n v="0"/>
    <n v="0.52168499999999995"/>
  </r>
  <r>
    <x v="4"/>
    <x v="72"/>
    <x v="25"/>
    <n v="0"/>
    <x v="1"/>
    <n v="0"/>
    <n v="0"/>
    <n v="0.56969000000000003"/>
    <n v="0"/>
    <n v="0.56969000000000003"/>
  </r>
  <r>
    <x v="4"/>
    <x v="72"/>
    <x v="26"/>
    <n v="0"/>
    <x v="1"/>
    <n v="0"/>
    <n v="0"/>
    <n v="0.61049299999999995"/>
    <n v="0"/>
    <n v="0.61049299999999995"/>
  </r>
  <r>
    <x v="4"/>
    <x v="72"/>
    <x v="27"/>
    <n v="0"/>
    <x v="1"/>
    <n v="0"/>
    <n v="0"/>
    <n v="0.61080400000000001"/>
    <n v="0"/>
    <n v="0.61080400000000001"/>
  </r>
  <r>
    <x v="4"/>
    <x v="72"/>
    <x v="0"/>
    <n v="0"/>
    <x v="1"/>
    <n v="0"/>
    <n v="0"/>
    <n v="0"/>
    <n v="72.351042000000007"/>
    <n v="72.351042000000007"/>
  </r>
  <r>
    <x v="4"/>
    <x v="72"/>
    <x v="1"/>
    <n v="0"/>
    <x v="1"/>
    <n v="0"/>
    <n v="0"/>
    <n v="0"/>
    <n v="58.355184999999999"/>
    <n v="58.355184999999999"/>
  </r>
  <r>
    <x v="4"/>
    <x v="72"/>
    <x v="2"/>
    <n v="0"/>
    <x v="1"/>
    <n v="0"/>
    <n v="0"/>
    <n v="0"/>
    <n v="56.017259000000003"/>
    <n v="56.017259000000003"/>
  </r>
  <r>
    <x v="4"/>
    <x v="72"/>
    <x v="3"/>
    <n v="0"/>
    <x v="1"/>
    <n v="0"/>
    <n v="0"/>
    <n v="0"/>
    <n v="59.337232999999998"/>
    <n v="59.337232999999998"/>
  </r>
  <r>
    <x v="4"/>
    <x v="72"/>
    <x v="4"/>
    <n v="0"/>
    <x v="1"/>
    <n v="0"/>
    <n v="0"/>
    <n v="0"/>
    <n v="62.723593000000001"/>
    <n v="62.723593000000001"/>
  </r>
  <r>
    <x v="4"/>
    <x v="72"/>
    <x v="5"/>
    <n v="0"/>
    <x v="1"/>
    <n v="0"/>
    <n v="0"/>
    <n v="0"/>
    <n v="0.30259200000000003"/>
    <n v="0.30259200000000003"/>
  </r>
  <r>
    <x v="4"/>
    <x v="72"/>
    <x v="6"/>
    <n v="0"/>
    <x v="1"/>
    <n v="0"/>
    <n v="0"/>
    <n v="0"/>
    <n v="0.28648299999999999"/>
    <n v="0.28648299999999999"/>
  </r>
  <r>
    <x v="4"/>
    <x v="72"/>
    <x v="7"/>
    <n v="0"/>
    <x v="1"/>
    <n v="0"/>
    <n v="0"/>
    <n v="0"/>
    <n v="0.35427199999999998"/>
    <n v="0.35427199999999998"/>
  </r>
  <r>
    <x v="4"/>
    <x v="72"/>
    <x v="8"/>
    <n v="0"/>
    <x v="1"/>
    <n v="0"/>
    <n v="0"/>
    <n v="0"/>
    <n v="0.40369300000000002"/>
    <n v="0.40369300000000002"/>
  </r>
  <r>
    <x v="4"/>
    <x v="72"/>
    <x v="9"/>
    <n v="0"/>
    <x v="1"/>
    <n v="0"/>
    <n v="0"/>
    <n v="0"/>
    <n v="0.38912799999999997"/>
    <n v="0.38912799999999997"/>
  </r>
  <r>
    <x v="4"/>
    <x v="72"/>
    <x v="10"/>
    <n v="0"/>
    <x v="1"/>
    <n v="0"/>
    <n v="0"/>
    <n v="0"/>
    <n v="75.12"/>
    <n v="75.12"/>
  </r>
  <r>
    <x v="4"/>
    <x v="72"/>
    <x v="11"/>
    <n v="0"/>
    <x v="1"/>
    <n v="0"/>
    <n v="0"/>
    <n v="0"/>
    <n v="63.460169999999998"/>
    <n v="63.460169999999998"/>
  </r>
  <r>
    <x v="4"/>
    <x v="72"/>
    <x v="12"/>
    <n v="0"/>
    <x v="1"/>
    <n v="0"/>
    <n v="0"/>
    <n v="0"/>
    <n v="65.907387"/>
    <n v="65.907387"/>
  </r>
  <r>
    <x v="4"/>
    <x v="72"/>
    <x v="13"/>
    <n v="0"/>
    <x v="1"/>
    <n v="0"/>
    <n v="0"/>
    <n v="0"/>
    <n v="69.764202999999995"/>
    <n v="69.764202999999995"/>
  </r>
  <r>
    <x v="4"/>
    <x v="72"/>
    <x v="14"/>
    <n v="0"/>
    <x v="1"/>
    <n v="0"/>
    <n v="0"/>
    <n v="0"/>
    <n v="83.952157"/>
    <n v="83.952157"/>
  </r>
  <r>
    <x v="4"/>
    <x v="72"/>
    <x v="15"/>
    <n v="0"/>
    <x v="1"/>
    <n v="0"/>
    <n v="0"/>
    <n v="0"/>
    <n v="85.048347000000007"/>
    <n v="85.048347000000007"/>
  </r>
  <r>
    <x v="4"/>
    <x v="72"/>
    <x v="16"/>
    <n v="0"/>
    <x v="1"/>
    <n v="0"/>
    <n v="0"/>
    <n v="0"/>
    <n v="93.944131999999996"/>
    <n v="93.944131999999996"/>
  </r>
  <r>
    <x v="4"/>
    <x v="72"/>
    <x v="17"/>
    <n v="0"/>
    <x v="1"/>
    <n v="0"/>
    <n v="0"/>
    <n v="0"/>
    <n v="95.001868000000002"/>
    <n v="95.001868000000002"/>
  </r>
  <r>
    <x v="4"/>
    <x v="72"/>
    <x v="18"/>
    <n v="0"/>
    <x v="1"/>
    <n v="0"/>
    <n v="0"/>
    <n v="0"/>
    <n v="92.882479000000004"/>
    <n v="92.882479000000004"/>
  </r>
  <r>
    <x v="4"/>
    <x v="72"/>
    <x v="19"/>
    <n v="0"/>
    <x v="1"/>
    <n v="0"/>
    <n v="0"/>
    <n v="0"/>
    <n v="94.857782999999998"/>
    <n v="94.857782999999998"/>
  </r>
  <r>
    <x v="4"/>
    <x v="72"/>
    <x v="20"/>
    <n v="0"/>
    <x v="1"/>
    <n v="0"/>
    <n v="0"/>
    <n v="0"/>
    <n v="98.700778"/>
    <n v="98.700778"/>
  </r>
  <r>
    <x v="4"/>
    <x v="72"/>
    <x v="21"/>
    <n v="0"/>
    <x v="1"/>
    <n v="0"/>
    <n v="0"/>
    <n v="0"/>
    <n v="100.596766"/>
    <n v="100.596766"/>
  </r>
  <r>
    <x v="4"/>
    <x v="72"/>
    <x v="22"/>
    <n v="0"/>
    <x v="1"/>
    <n v="0"/>
    <n v="0"/>
    <n v="0"/>
    <n v="93.704398999999995"/>
    <n v="93.704398999999995"/>
  </r>
  <r>
    <x v="4"/>
    <x v="72"/>
    <x v="23"/>
    <n v="0"/>
    <x v="1"/>
    <n v="0"/>
    <n v="0"/>
    <n v="0"/>
    <n v="98.638885000000002"/>
    <n v="98.638885000000002"/>
  </r>
  <r>
    <x v="4"/>
    <x v="72"/>
    <x v="24"/>
    <n v="0"/>
    <x v="1"/>
    <n v="0"/>
    <n v="0"/>
    <n v="0"/>
    <n v="82.506609999999995"/>
    <n v="82.506609999999995"/>
  </r>
  <r>
    <x v="4"/>
    <x v="72"/>
    <x v="25"/>
    <n v="0"/>
    <x v="1"/>
    <n v="0"/>
    <n v="0"/>
    <n v="0"/>
    <n v="88.105113000000003"/>
    <n v="88.105113000000003"/>
  </r>
  <r>
    <x v="4"/>
    <x v="72"/>
    <x v="26"/>
    <n v="0"/>
    <x v="1"/>
    <n v="0"/>
    <n v="0"/>
    <n v="0"/>
    <n v="92.026514000000006"/>
    <n v="92.026514000000006"/>
  </r>
  <r>
    <x v="4"/>
    <x v="72"/>
    <x v="27"/>
    <n v="0"/>
    <x v="1"/>
    <n v="0"/>
    <n v="0"/>
    <n v="0"/>
    <n v="96.194067000000004"/>
    <n v="96.194067000000004"/>
  </r>
  <r>
    <x v="4"/>
    <x v="72"/>
    <x v="0"/>
    <n v="0"/>
    <x v="1"/>
    <n v="1.120822"/>
    <n v="0"/>
    <n v="0"/>
    <n v="0"/>
    <n v="1.120822"/>
  </r>
  <r>
    <x v="4"/>
    <x v="72"/>
    <x v="1"/>
    <n v="0"/>
    <x v="1"/>
    <n v="0.85809000000000002"/>
    <n v="0"/>
    <n v="0"/>
    <n v="0"/>
    <n v="0.85809000000000002"/>
  </r>
  <r>
    <x v="4"/>
    <x v="72"/>
    <x v="2"/>
    <n v="0"/>
    <x v="1"/>
    <n v="2.381173"/>
    <n v="0"/>
    <n v="0"/>
    <n v="0"/>
    <n v="2.381173"/>
  </r>
  <r>
    <x v="4"/>
    <x v="72"/>
    <x v="3"/>
    <n v="0"/>
    <x v="1"/>
    <n v="2.5738720000000002"/>
    <n v="0"/>
    <n v="0"/>
    <n v="0"/>
    <n v="2.5738720000000002"/>
  </r>
  <r>
    <x v="4"/>
    <x v="72"/>
    <x v="4"/>
    <n v="0"/>
    <x v="1"/>
    <n v="2.900744"/>
    <n v="0"/>
    <n v="0"/>
    <n v="0"/>
    <n v="2.900744"/>
  </r>
  <r>
    <x v="4"/>
    <x v="72"/>
    <x v="5"/>
    <n v="0"/>
    <x v="1"/>
    <n v="2.1923840000000001"/>
    <n v="0"/>
    <n v="0"/>
    <n v="0"/>
    <n v="2.1923840000000001"/>
  </r>
  <r>
    <x v="4"/>
    <x v="72"/>
    <x v="6"/>
    <n v="0"/>
    <x v="1"/>
    <n v="3.2711600000000001"/>
    <n v="0"/>
    <n v="0"/>
    <n v="0"/>
    <n v="3.2711600000000001"/>
  </r>
  <r>
    <x v="4"/>
    <x v="72"/>
    <x v="7"/>
    <n v="0"/>
    <x v="1"/>
    <n v="2.9654850000000001"/>
    <n v="0"/>
    <n v="0"/>
    <n v="0"/>
    <n v="2.9654850000000001"/>
  </r>
  <r>
    <x v="4"/>
    <x v="72"/>
    <x v="8"/>
    <n v="0"/>
    <x v="1"/>
    <n v="3.2726359999999999"/>
    <n v="0"/>
    <n v="0"/>
    <n v="0"/>
    <n v="3.2726359999999999"/>
  </r>
  <r>
    <x v="4"/>
    <x v="72"/>
    <x v="9"/>
    <n v="0"/>
    <x v="1"/>
    <n v="2.9136709999999999"/>
    <n v="0"/>
    <n v="0"/>
    <n v="0"/>
    <n v="2.9136709999999999"/>
  </r>
  <r>
    <x v="4"/>
    <x v="72"/>
    <x v="10"/>
    <n v="0"/>
    <x v="1"/>
    <n v="2.7998769999999999"/>
    <n v="0"/>
    <n v="0"/>
    <n v="0"/>
    <n v="2.7998769999999999"/>
  </r>
  <r>
    <x v="4"/>
    <x v="72"/>
    <x v="11"/>
    <n v="0"/>
    <x v="1"/>
    <n v="2.1046659999999999"/>
    <n v="0"/>
    <n v="0"/>
    <n v="0"/>
    <n v="2.1046659999999999"/>
  </r>
  <r>
    <x v="4"/>
    <x v="72"/>
    <x v="12"/>
    <n v="0"/>
    <x v="1"/>
    <n v="3.2835290000000001"/>
    <n v="0"/>
    <n v="0"/>
    <n v="0"/>
    <n v="3.2835290000000001"/>
  </r>
  <r>
    <x v="4"/>
    <x v="72"/>
    <x v="13"/>
    <n v="0"/>
    <x v="1"/>
    <n v="2.7392789999999998"/>
    <n v="0"/>
    <n v="0"/>
    <n v="0"/>
    <n v="2.7392789999999998"/>
  </r>
  <r>
    <x v="4"/>
    <x v="72"/>
    <x v="14"/>
    <n v="0"/>
    <x v="1"/>
    <n v="3.0665559999999998"/>
    <n v="0"/>
    <n v="0"/>
    <n v="0"/>
    <n v="3.0665559999999998"/>
  </r>
  <r>
    <x v="4"/>
    <x v="72"/>
    <x v="15"/>
    <n v="0"/>
    <x v="1"/>
    <n v="3.2401849999999999"/>
    <n v="0"/>
    <n v="0"/>
    <n v="0"/>
    <n v="3.2401849999999999"/>
  </r>
  <r>
    <x v="4"/>
    <x v="72"/>
    <x v="16"/>
    <n v="0"/>
    <x v="1"/>
    <n v="12.946194999999999"/>
    <n v="0"/>
    <n v="0"/>
    <n v="0"/>
    <n v="12.946194999999999"/>
  </r>
  <r>
    <x v="4"/>
    <x v="72"/>
    <x v="17"/>
    <n v="0"/>
    <x v="1"/>
    <n v="13.391806000000001"/>
    <n v="0"/>
    <n v="0"/>
    <n v="0"/>
    <n v="13.391806000000001"/>
  </r>
  <r>
    <x v="4"/>
    <x v="72"/>
    <x v="18"/>
    <n v="0"/>
    <x v="1"/>
    <n v="6.5567729999999997"/>
    <n v="0"/>
    <n v="0"/>
    <n v="0"/>
    <n v="6.5567729999999997"/>
  </r>
  <r>
    <x v="4"/>
    <x v="72"/>
    <x v="19"/>
    <n v="0"/>
    <x v="1"/>
    <n v="6.8099449999999999"/>
    <n v="0"/>
    <n v="0"/>
    <n v="0"/>
    <n v="6.8099449999999999"/>
  </r>
  <r>
    <x v="4"/>
    <x v="72"/>
    <x v="20"/>
    <n v="0"/>
    <x v="1"/>
    <n v="6.0557889999999999"/>
    <n v="0"/>
    <n v="0"/>
    <n v="0"/>
    <n v="6.0557889999999999"/>
  </r>
  <r>
    <x v="4"/>
    <x v="72"/>
    <x v="21"/>
    <n v="0"/>
    <x v="1"/>
    <n v="7.9697930000000001"/>
    <n v="0"/>
    <n v="0"/>
    <n v="0"/>
    <n v="7.9697930000000001"/>
  </r>
  <r>
    <x v="4"/>
    <x v="72"/>
    <x v="22"/>
    <n v="0"/>
    <x v="1"/>
    <n v="5.5967409999999997"/>
    <n v="0"/>
    <n v="0"/>
    <n v="0"/>
    <n v="5.5967409999999997"/>
  </r>
  <r>
    <x v="4"/>
    <x v="72"/>
    <x v="23"/>
    <n v="0"/>
    <x v="1"/>
    <n v="4.1598139999999999"/>
    <n v="0"/>
    <n v="0"/>
    <n v="0"/>
    <n v="4.1598139999999999"/>
  </r>
  <r>
    <x v="4"/>
    <x v="72"/>
    <x v="24"/>
    <n v="0"/>
    <x v="1"/>
    <n v="4.3112469999999998"/>
    <n v="0"/>
    <n v="0"/>
    <n v="0"/>
    <n v="4.3112469999999998"/>
  </r>
  <r>
    <x v="4"/>
    <x v="72"/>
    <x v="25"/>
    <n v="0"/>
    <x v="1"/>
    <n v="4.7569229999999996"/>
    <n v="0"/>
    <n v="0"/>
    <n v="0"/>
    <n v="4.7569229999999996"/>
  </r>
  <r>
    <x v="4"/>
    <x v="72"/>
    <x v="26"/>
    <n v="0"/>
    <x v="1"/>
    <n v="5.9188960000000002"/>
    <n v="0"/>
    <n v="0"/>
    <n v="0"/>
    <n v="5.9188960000000002"/>
  </r>
  <r>
    <x v="4"/>
    <x v="72"/>
    <x v="27"/>
    <n v="0"/>
    <x v="1"/>
    <n v="4.6606160000000001"/>
    <n v="0"/>
    <n v="0"/>
    <n v="0"/>
    <n v="4.6606160000000001"/>
  </r>
  <r>
    <x v="4"/>
    <x v="73"/>
    <x v="5"/>
    <n v="0.46948299999999998"/>
    <x v="1"/>
    <n v="0"/>
    <n v="0"/>
    <n v="0"/>
    <n v="0"/>
    <n v="0.46948299999999998"/>
  </r>
  <r>
    <x v="4"/>
    <x v="73"/>
    <x v="6"/>
    <n v="1.9804060000000001"/>
    <x v="1"/>
    <n v="0"/>
    <n v="0"/>
    <n v="0"/>
    <n v="0"/>
    <n v="1.9804060000000001"/>
  </r>
  <r>
    <x v="4"/>
    <x v="73"/>
    <x v="7"/>
    <n v="1.408345"/>
    <x v="1"/>
    <n v="0"/>
    <n v="0"/>
    <n v="0"/>
    <n v="0"/>
    <n v="1.408345"/>
  </r>
  <r>
    <x v="4"/>
    <x v="73"/>
    <x v="8"/>
    <n v="2.095672"/>
    <x v="1"/>
    <n v="0"/>
    <n v="0"/>
    <n v="0"/>
    <n v="0"/>
    <n v="2.095672"/>
  </r>
  <r>
    <x v="4"/>
    <x v="73"/>
    <x v="0"/>
    <n v="0"/>
    <x v="1"/>
    <n v="0"/>
    <n v="0"/>
    <n v="1234.212638"/>
    <n v="0"/>
    <n v="1234.212638"/>
  </r>
  <r>
    <x v="4"/>
    <x v="73"/>
    <x v="1"/>
    <n v="0"/>
    <x v="1"/>
    <n v="0"/>
    <n v="0"/>
    <n v="1234.212638"/>
    <n v="0"/>
    <n v="1234.212638"/>
  </r>
  <r>
    <x v="4"/>
    <x v="73"/>
    <x v="2"/>
    <n v="0"/>
    <x v="1"/>
    <n v="0"/>
    <n v="0"/>
    <n v="1165.5933480000001"/>
    <n v="0"/>
    <n v="1165.5933480000001"/>
  </r>
  <r>
    <x v="4"/>
    <x v="73"/>
    <x v="3"/>
    <n v="0"/>
    <x v="1"/>
    <n v="0"/>
    <n v="0"/>
    <n v="1334.212638"/>
    <n v="0"/>
    <n v="1334.212638"/>
  </r>
  <r>
    <x v="4"/>
    <x v="73"/>
    <x v="4"/>
    <n v="0"/>
    <x v="1"/>
    <n v="0"/>
    <n v="0"/>
    <n v="1443.0235290000001"/>
    <n v="0"/>
    <n v="1443.0235290000001"/>
  </r>
  <r>
    <x v="4"/>
    <x v="73"/>
    <x v="5"/>
    <n v="0"/>
    <x v="1"/>
    <n v="0"/>
    <n v="0"/>
    <n v="1524.911022"/>
    <n v="0"/>
    <n v="1524.911022"/>
  </r>
  <r>
    <x v="4"/>
    <x v="73"/>
    <x v="6"/>
    <n v="0"/>
    <x v="1"/>
    <n v="0"/>
    <n v="0"/>
    <n v="1573.439226"/>
    <n v="0"/>
    <n v="1573.439226"/>
  </r>
  <r>
    <x v="4"/>
    <x v="73"/>
    <x v="7"/>
    <n v="0"/>
    <x v="1"/>
    <n v="0"/>
    <n v="0"/>
    <n v="1573.2188229999999"/>
    <n v="0"/>
    <n v="1573.2188229999999"/>
  </r>
  <r>
    <x v="4"/>
    <x v="73"/>
    <x v="8"/>
    <n v="0"/>
    <x v="1"/>
    <n v="0"/>
    <n v="0"/>
    <n v="1456.0072520000001"/>
    <n v="0"/>
    <n v="1456.0072520000001"/>
  </r>
  <r>
    <x v="4"/>
    <x v="73"/>
    <x v="9"/>
    <n v="0"/>
    <x v="1"/>
    <n v="0"/>
    <n v="0"/>
    <n v="1491.670228"/>
    <n v="0"/>
    <n v="1491.670228"/>
  </r>
  <r>
    <x v="4"/>
    <x v="73"/>
    <x v="10"/>
    <n v="0"/>
    <x v="1"/>
    <n v="0"/>
    <n v="0"/>
    <n v="1563.3774619999999"/>
    <n v="0"/>
    <n v="1563.3774619999999"/>
  </r>
  <r>
    <x v="4"/>
    <x v="73"/>
    <x v="11"/>
    <n v="0"/>
    <x v="1"/>
    <n v="0"/>
    <n v="0"/>
    <n v="1657.755007"/>
    <n v="0"/>
    <n v="1657.755007"/>
  </r>
  <r>
    <x v="4"/>
    <x v="73"/>
    <x v="12"/>
    <n v="0"/>
    <x v="1"/>
    <n v="0"/>
    <n v="0"/>
    <n v="1841.0324619999999"/>
    <n v="0"/>
    <n v="1841.0324619999999"/>
  </r>
  <r>
    <x v="4"/>
    <x v="73"/>
    <x v="13"/>
    <n v="0"/>
    <x v="1"/>
    <n v="0"/>
    <n v="0"/>
    <n v="1941.2195589999999"/>
    <n v="0"/>
    <n v="1941.2195589999999"/>
  </r>
  <r>
    <x v="4"/>
    <x v="73"/>
    <x v="14"/>
    <n v="0"/>
    <x v="1"/>
    <n v="0"/>
    <n v="0"/>
    <n v="1979.206729"/>
    <n v="0"/>
    <n v="1979.206729"/>
  </r>
  <r>
    <x v="4"/>
    <x v="73"/>
    <x v="15"/>
    <n v="0"/>
    <x v="1"/>
    <n v="0"/>
    <n v="0"/>
    <n v="1923.9182129999999"/>
    <n v="0"/>
    <n v="1923.9182129999999"/>
  </r>
  <r>
    <x v="4"/>
    <x v="73"/>
    <x v="16"/>
    <n v="0"/>
    <x v="1"/>
    <n v="0"/>
    <n v="0"/>
    <n v="1806.7797029999999"/>
    <n v="0"/>
    <n v="1806.7797029999999"/>
  </r>
  <r>
    <x v="4"/>
    <x v="73"/>
    <x v="17"/>
    <n v="0"/>
    <x v="1"/>
    <n v="0"/>
    <n v="0"/>
    <n v="1917.0411509999999"/>
    <n v="0"/>
    <n v="1917.0411509999999"/>
  </r>
  <r>
    <x v="4"/>
    <x v="73"/>
    <x v="18"/>
    <n v="0"/>
    <x v="1"/>
    <n v="0"/>
    <n v="0"/>
    <n v="1994.5907360000001"/>
    <n v="0"/>
    <n v="1994.5907360000001"/>
  </r>
  <r>
    <x v="4"/>
    <x v="73"/>
    <x v="19"/>
    <n v="0"/>
    <x v="1"/>
    <n v="0"/>
    <n v="0"/>
    <n v="2047.314901"/>
    <n v="0"/>
    <n v="2047.314901"/>
  </r>
  <r>
    <x v="4"/>
    <x v="73"/>
    <x v="20"/>
    <n v="0"/>
    <x v="1"/>
    <n v="0"/>
    <n v="0"/>
    <n v="1944.1881129999999"/>
    <n v="0"/>
    <n v="1944.1881129999999"/>
  </r>
  <r>
    <x v="4"/>
    <x v="73"/>
    <x v="21"/>
    <n v="0"/>
    <x v="1"/>
    <n v="0"/>
    <n v="0"/>
    <n v="1995.364585"/>
    <n v="0"/>
    <n v="1995.364585"/>
  </r>
  <r>
    <x v="4"/>
    <x v="73"/>
    <x v="22"/>
    <n v="0"/>
    <x v="1"/>
    <n v="0"/>
    <n v="0"/>
    <n v="1931.096949"/>
    <n v="0"/>
    <n v="1931.096949"/>
  </r>
  <r>
    <x v="4"/>
    <x v="73"/>
    <x v="23"/>
    <n v="0"/>
    <x v="1"/>
    <n v="0"/>
    <n v="0"/>
    <n v="2265.5859"/>
    <n v="0"/>
    <n v="2265.5859"/>
  </r>
  <r>
    <x v="4"/>
    <x v="73"/>
    <x v="24"/>
    <n v="0"/>
    <x v="1"/>
    <n v="0"/>
    <n v="0"/>
    <n v="2285.477989"/>
    <n v="0"/>
    <n v="2285.477989"/>
  </r>
  <r>
    <x v="4"/>
    <x v="73"/>
    <x v="25"/>
    <n v="0"/>
    <x v="1"/>
    <n v="0"/>
    <n v="0"/>
    <n v="2337.5663599999998"/>
    <n v="0"/>
    <n v="2337.5663599999998"/>
  </r>
  <r>
    <x v="4"/>
    <x v="73"/>
    <x v="26"/>
    <n v="0"/>
    <x v="1"/>
    <n v="0"/>
    <n v="0"/>
    <n v="2044.806844"/>
    <n v="0"/>
    <n v="2044.806844"/>
  </r>
  <r>
    <x v="4"/>
    <x v="73"/>
    <x v="27"/>
    <n v="0"/>
    <x v="1"/>
    <n v="0"/>
    <n v="0"/>
    <n v="1915.7674010000001"/>
    <n v="0"/>
    <n v="1915.7674010000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AAF28B-89F4-424E-9C6A-9BF327760FE9}"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fieldListSortAscending="1">
  <location ref="A4:C9" firstHeaderRow="0" firstDataRow="1" firstDataCol="1" rowPageCount="1" colPageCount="1"/>
  <pivotFields count="10">
    <pivotField showAll="0">
      <items count="6">
        <item x="2"/>
        <item h="1" x="0"/>
        <item h="1" x="3"/>
        <item h="1" x="1"/>
        <item h="1" x="4"/>
        <item t="default"/>
      </items>
    </pivotField>
    <pivotField axis="axisRow" showAll="0" sortType="descending">
      <items count="75">
        <item x="0"/>
        <item x="1"/>
        <item x="2"/>
        <item x="61"/>
        <item x="45"/>
        <item x="3"/>
        <item x="4"/>
        <item x="62"/>
        <item x="5"/>
        <item x="63"/>
        <item x="6"/>
        <item x="7"/>
        <item x="8"/>
        <item x="9"/>
        <item x="10"/>
        <item x="70"/>
        <item x="11"/>
        <item x="12"/>
        <item x="13"/>
        <item x="66"/>
        <item x="14"/>
        <item x="49"/>
        <item x="46"/>
        <item x="52"/>
        <item x="15"/>
        <item x="16"/>
        <item x="73"/>
        <item x="17"/>
        <item x="64"/>
        <item x="18"/>
        <item x="68"/>
        <item x="19"/>
        <item x="43"/>
        <item x="20"/>
        <item x="21"/>
        <item x="50"/>
        <item x="22"/>
        <item x="23"/>
        <item x="24"/>
        <item x="51"/>
        <item x="25"/>
        <item x="26"/>
        <item x="27"/>
        <item x="28"/>
        <item x="53"/>
        <item x="47"/>
        <item x="44"/>
        <item x="29"/>
        <item x="69"/>
        <item x="30"/>
        <item x="31"/>
        <item x="54"/>
        <item x="32"/>
        <item x="33"/>
        <item x="34"/>
        <item x="72"/>
        <item x="55"/>
        <item x="65"/>
        <item x="56"/>
        <item x="35"/>
        <item x="36"/>
        <item x="37"/>
        <item x="38"/>
        <item x="57"/>
        <item x="39"/>
        <item x="58"/>
        <item x="59"/>
        <item x="67"/>
        <item x="40"/>
        <item x="41"/>
        <item x="48"/>
        <item x="71"/>
        <item x="42"/>
        <item x="60"/>
        <item t="default"/>
      </items>
      <autoSortScope>
        <pivotArea dataOnly="0" outline="0" fieldPosition="0">
          <references count="1">
            <reference field="4294967294" count="1" selected="0">
              <x v="0"/>
            </reference>
          </references>
        </pivotArea>
      </autoSortScope>
    </pivotField>
    <pivotField axis="axisPage" multipleItemSelectionAllowed="1"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showAll="0"/>
    <pivotField multipleItemSelectionAllowed="1" showAll="0">
      <items count="13">
        <item x="0"/>
        <item x="1"/>
        <item x="2"/>
        <item x="3"/>
        <item x="4"/>
        <item x="5"/>
        <item x="6"/>
        <item x="7"/>
        <item x="8"/>
        <item x="9"/>
        <item x="10"/>
        <item x="11"/>
        <item t="default"/>
      </items>
    </pivotField>
    <pivotField showAll="0"/>
    <pivotField dataField="1" showAll="0"/>
    <pivotField dataField="1" showAll="0"/>
    <pivotField showAll="0"/>
    <pivotField showAll="0"/>
  </pivotFields>
  <rowFields count="1">
    <field x="1"/>
  </rowFields>
  <rowItems count="5">
    <i>
      <x v="54"/>
    </i>
    <i>
      <x v="42"/>
    </i>
    <i>
      <x v="52"/>
    </i>
    <i>
      <x v="5"/>
    </i>
    <i t="grand">
      <x/>
    </i>
  </rowItems>
  <colFields count="1">
    <field x="-2"/>
  </colFields>
  <colItems count="2">
    <i>
      <x/>
    </i>
    <i i="1">
      <x v="1"/>
    </i>
  </colItems>
  <pageFields count="1">
    <pageField fld="2" hier="-1"/>
  </pageFields>
  <dataFields count="2">
    <dataField name="Sum of Mining &amp; Construction" fld="7" baseField="1" baseItem="31" numFmtId="1"/>
    <dataField name="Sum of Industry" fld="6" baseField="1" baseItem="42" numFmtId="1"/>
  </dataFields>
  <chartFormats count="4">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69D31-8CAF-4F06-9C72-4EEA1D70EAB3}"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fieldListSortAscending="1">
  <location ref="A4:C9" firstHeaderRow="0" firstDataRow="1" firstDataCol="1"/>
  <pivotFields count="10">
    <pivotField showAll="0" sortType="descending">
      <items count="6">
        <item x="2"/>
        <item h="1" x="0"/>
        <item h="1" x="3"/>
        <item h="1" x="1"/>
        <item h="1" x="4"/>
        <item t="default"/>
      </items>
      <autoSortScope>
        <pivotArea dataOnly="0" outline="0" fieldPosition="0">
          <references count="1">
            <reference field="4294967294" count="1" selected="0">
              <x v="0"/>
            </reference>
          </references>
        </pivotArea>
      </autoSortScope>
    </pivotField>
    <pivotField axis="axisRow" showAll="0" sortType="descending">
      <items count="75">
        <item x="0"/>
        <item x="1"/>
        <item x="2"/>
        <item x="61"/>
        <item x="45"/>
        <item x="3"/>
        <item x="4"/>
        <item x="62"/>
        <item x="5"/>
        <item x="63"/>
        <item x="6"/>
        <item x="7"/>
        <item x="8"/>
        <item x="9"/>
        <item x="10"/>
        <item x="70"/>
        <item x="11"/>
        <item x="12"/>
        <item x="13"/>
        <item x="66"/>
        <item x="14"/>
        <item x="49"/>
        <item x="46"/>
        <item x="52"/>
        <item x="15"/>
        <item x="16"/>
        <item x="73"/>
        <item x="17"/>
        <item x="64"/>
        <item x="18"/>
        <item x="68"/>
        <item x="19"/>
        <item x="43"/>
        <item x="20"/>
        <item x="21"/>
        <item x="50"/>
        <item x="22"/>
        <item x="23"/>
        <item x="24"/>
        <item x="51"/>
        <item x="25"/>
        <item x="26"/>
        <item x="27"/>
        <item x="28"/>
        <item x="53"/>
        <item x="47"/>
        <item x="44"/>
        <item x="29"/>
        <item x="69"/>
        <item x="30"/>
        <item x="31"/>
        <item x="54"/>
        <item x="32"/>
        <item x="33"/>
        <item x="34"/>
        <item x="72"/>
        <item x="55"/>
        <item x="65"/>
        <item x="56"/>
        <item x="35"/>
        <item x="36"/>
        <item x="37"/>
        <item x="38"/>
        <item x="57"/>
        <item x="39"/>
        <item x="58"/>
        <item x="59"/>
        <item x="67"/>
        <item x="40"/>
        <item x="41"/>
        <item x="48"/>
        <item x="71"/>
        <item x="42"/>
        <item x="60"/>
        <item t="default"/>
      </items>
      <autoSortScope>
        <pivotArea dataOnly="0" outline="0" fieldPosition="0">
          <references count="1">
            <reference field="4294967294" count="1" selected="0">
              <x v="0"/>
            </reference>
          </references>
        </pivotArea>
      </autoSortScope>
    </pivotField>
    <pivotField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dataField="1" showAll="0"/>
    <pivotField dataField="1" multipleItemSelectionAllowed="1" showAll="0">
      <items count="13">
        <item x="0"/>
        <item x="1"/>
        <item x="2"/>
        <item x="3"/>
        <item x="4"/>
        <item x="5"/>
        <item x="6"/>
        <item x="7"/>
        <item x="8"/>
        <item x="9"/>
        <item x="10"/>
        <item x="11"/>
        <item t="default"/>
      </items>
    </pivotField>
    <pivotField showAll="0"/>
    <pivotField showAll="0"/>
    <pivotField showAll="0"/>
    <pivotField showAll="0"/>
    <pivotField showAll="0"/>
  </pivotFields>
  <rowFields count="1">
    <field x="1"/>
  </rowFields>
  <rowItems count="5">
    <i>
      <x v="54"/>
    </i>
    <i>
      <x v="42"/>
    </i>
    <i>
      <x v="52"/>
    </i>
    <i>
      <x v="5"/>
    </i>
    <i t="grand">
      <x/>
    </i>
  </rowItems>
  <colFields count="1">
    <field x="-2"/>
  </colFields>
  <colItems count="2">
    <i>
      <x/>
    </i>
    <i i="1">
      <x v="1"/>
    </i>
  </colItems>
  <dataFields count="2">
    <dataField name="Sum of Commercial Building" fld="4" baseField="1" baseItem="42" numFmtId="1"/>
    <dataField name="Sum of Ag &amp; Water Pump" fld="3" baseField="1" baseItem="31" numFmtId="1"/>
  </dataFields>
  <chartFormats count="8">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1"/>
          </reference>
        </references>
      </pivotArea>
    </chartFormat>
    <chartFormat chart="13" format="8" series="1">
      <pivotArea type="data" outline="0" fieldPosition="0">
        <references count="1">
          <reference field="4294967294" count="1" selected="0">
            <x v="0"/>
          </reference>
        </references>
      </pivotArea>
    </chartFormat>
    <chartFormat chart="1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8103E51-7448-4100-9D86-DEBD5A73407E}"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fieldListSortAscending="1">
  <location ref="A4:B11" firstHeaderRow="1" firstDataRow="1" firstDataCol="1"/>
  <pivotFields count="10">
    <pivotField showAll="0">
      <items count="6">
        <item x="2"/>
        <item h="1" x="0"/>
        <item h="1" x="3"/>
        <item h="1" x="1"/>
        <item h="1" x="4"/>
        <item t="default"/>
      </items>
    </pivotField>
    <pivotField showAll="0">
      <items count="75">
        <item x="0"/>
        <item x="1"/>
        <item x="2"/>
        <item x="61"/>
        <item x="45"/>
        <item x="3"/>
        <item x="4"/>
        <item x="62"/>
        <item x="5"/>
        <item x="63"/>
        <item x="6"/>
        <item x="7"/>
        <item x="8"/>
        <item x="9"/>
        <item x="10"/>
        <item x="70"/>
        <item x="11"/>
        <item x="12"/>
        <item x="13"/>
        <item x="66"/>
        <item x="14"/>
        <item x="49"/>
        <item x="46"/>
        <item x="52"/>
        <item x="15"/>
        <item x="16"/>
        <item x="73"/>
        <item x="17"/>
        <item x="64"/>
        <item x="18"/>
        <item x="68"/>
        <item x="19"/>
        <item x="43"/>
        <item x="20"/>
        <item x="21"/>
        <item x="50"/>
        <item x="22"/>
        <item x="23"/>
        <item x="24"/>
        <item x="51"/>
        <item x="25"/>
        <item x="26"/>
        <item x="27"/>
        <item x="28"/>
        <item x="53"/>
        <item x="47"/>
        <item x="44"/>
        <item x="29"/>
        <item x="69"/>
        <item x="30"/>
        <item x="31"/>
        <item x="54"/>
        <item x="32"/>
        <item x="33"/>
        <item x="34"/>
        <item x="72"/>
        <item x="55"/>
        <item x="65"/>
        <item x="56"/>
        <item x="35"/>
        <item x="36"/>
        <item x="37"/>
        <item x="38"/>
        <item x="57"/>
        <item x="39"/>
        <item x="58"/>
        <item x="59"/>
        <item x="67"/>
        <item x="40"/>
        <item x="41"/>
        <item x="48"/>
        <item x="71"/>
        <item x="42"/>
        <item x="60"/>
        <item t="default"/>
      </items>
    </pivotField>
    <pivotField multipleItemSelectionAllowed="1"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showAll="0"/>
    <pivotField axis="axisRow" dataField="1" multipleItemSelectionAllowed="1" showAll="0" sortType="descending">
      <items count="13">
        <item x="10"/>
        <item x="9"/>
        <item x="8"/>
        <item x="7"/>
        <item x="6"/>
        <item x="1"/>
        <item x="5"/>
        <item x="4"/>
        <item x="3"/>
        <item x="2"/>
        <item x="11"/>
        <item x="0"/>
        <item t="default"/>
      </items>
    </pivotField>
    <pivotField showAll="0"/>
    <pivotField showAll="0"/>
    <pivotField showAll="0"/>
    <pivotField showAll="0"/>
    <pivotField showAll="0"/>
  </pivotFields>
  <rowFields count="1">
    <field x="4"/>
  </rowFields>
  <rowItems count="7">
    <i>
      <x v="1"/>
    </i>
    <i>
      <x v="2"/>
    </i>
    <i>
      <x v="3"/>
    </i>
    <i>
      <x v="5"/>
    </i>
    <i>
      <x v="9"/>
    </i>
    <i>
      <x v="11"/>
    </i>
    <i t="grand">
      <x/>
    </i>
  </rowItems>
  <colItems count="1">
    <i/>
  </colItems>
  <dataFields count="1">
    <dataField name="Count of Commercial Building" fld="4" subtotal="count" showDataAs="percentOfTotal" baseField="4" baseItem="3" numFmtId="10"/>
  </dataFields>
  <chartFormats count="14">
    <chartFormat chart="6" format="5"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0"/>
          </reference>
        </references>
      </pivotArea>
    </chartFormat>
    <chartFormat chart="8" format="15">
      <pivotArea type="data" outline="0" fieldPosition="0">
        <references count="2">
          <reference field="4294967294" count="1" selected="0">
            <x v="0"/>
          </reference>
          <reference field="4" count="1" selected="0">
            <x v="1"/>
          </reference>
        </references>
      </pivotArea>
    </chartFormat>
    <chartFormat chart="8" format="16">
      <pivotArea type="data" outline="0" fieldPosition="0">
        <references count="2">
          <reference field="4294967294" count="1" selected="0">
            <x v="0"/>
          </reference>
          <reference field="4" count="1" selected="0">
            <x v="2"/>
          </reference>
        </references>
      </pivotArea>
    </chartFormat>
    <chartFormat chart="8" format="17">
      <pivotArea type="data" outline="0" fieldPosition="0">
        <references count="2">
          <reference field="4294967294" count="1" selected="0">
            <x v="0"/>
          </reference>
          <reference field="4" count="1" selected="0">
            <x v="3"/>
          </reference>
        </references>
      </pivotArea>
    </chartFormat>
    <chartFormat chart="8" format="18">
      <pivotArea type="data" outline="0" fieldPosition="0">
        <references count="2">
          <reference field="4294967294" count="1" selected="0">
            <x v="0"/>
          </reference>
          <reference field="4" count="1" selected="0">
            <x v="5"/>
          </reference>
        </references>
      </pivotArea>
    </chartFormat>
    <chartFormat chart="8" format="19">
      <pivotArea type="data" outline="0" fieldPosition="0">
        <references count="2">
          <reference field="4294967294" count="1" selected="0">
            <x v="0"/>
          </reference>
          <reference field="4" count="1" selected="0">
            <x v="9"/>
          </reference>
        </references>
      </pivotArea>
    </chartFormat>
    <chartFormat chart="8" format="20">
      <pivotArea type="data" outline="0" fieldPosition="0">
        <references count="2">
          <reference field="4294967294" count="1" selected="0">
            <x v="0"/>
          </reference>
          <reference field="4" count="1" selected="0">
            <x v="11"/>
          </reference>
        </references>
      </pivotArea>
    </chartFormat>
    <chartFormat chart="6" format="7">
      <pivotArea type="data" outline="0" fieldPosition="0">
        <references count="2">
          <reference field="4294967294" count="1" selected="0">
            <x v="0"/>
          </reference>
          <reference field="4" count="1" selected="0">
            <x v="1"/>
          </reference>
        </references>
      </pivotArea>
    </chartFormat>
    <chartFormat chart="6" format="8">
      <pivotArea type="data" outline="0" fieldPosition="0">
        <references count="2">
          <reference field="4294967294" count="1" selected="0">
            <x v="0"/>
          </reference>
          <reference field="4" count="1" selected="0">
            <x v="2"/>
          </reference>
        </references>
      </pivotArea>
    </chartFormat>
    <chartFormat chart="6" format="9">
      <pivotArea type="data" outline="0" fieldPosition="0">
        <references count="2">
          <reference field="4294967294" count="1" selected="0">
            <x v="0"/>
          </reference>
          <reference field="4" count="1" selected="0">
            <x v="3"/>
          </reference>
        </references>
      </pivotArea>
    </chartFormat>
    <chartFormat chart="6" format="10">
      <pivotArea type="data" outline="0" fieldPosition="0">
        <references count="2">
          <reference field="4294967294" count="1" selected="0">
            <x v="0"/>
          </reference>
          <reference field="4" count="1" selected="0">
            <x v="5"/>
          </reference>
        </references>
      </pivotArea>
    </chartFormat>
    <chartFormat chart="6" format="11">
      <pivotArea type="data" outline="0" fieldPosition="0">
        <references count="2">
          <reference field="4294967294" count="1" selected="0">
            <x v="0"/>
          </reference>
          <reference field="4" count="1" selected="0">
            <x v="9"/>
          </reference>
        </references>
      </pivotArea>
    </chartFormat>
    <chartFormat chart="6" format="12">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F57D0A-99BC-4ECD-A614-53FBB11FB8D7}"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8" fieldListSortAscending="1">
  <location ref="A4:B33" firstHeaderRow="1" firstDataRow="1" firstDataCol="1"/>
  <pivotFields count="10">
    <pivotField showAll="0">
      <items count="6">
        <item x="2"/>
        <item h="1" x="0"/>
        <item h="1" x="3"/>
        <item h="1" x="1"/>
        <item h="1" x="4"/>
        <item t="default"/>
      </items>
    </pivotField>
    <pivotField dataField="1" showAll="0">
      <items count="75">
        <item x="0"/>
        <item x="1"/>
        <item x="2"/>
        <item x="61"/>
        <item x="45"/>
        <item x="3"/>
        <item x="4"/>
        <item x="62"/>
        <item x="5"/>
        <item x="63"/>
        <item x="6"/>
        <item x="7"/>
        <item x="8"/>
        <item x="9"/>
        <item x="10"/>
        <item x="70"/>
        <item x="11"/>
        <item x="12"/>
        <item x="13"/>
        <item x="66"/>
        <item x="14"/>
        <item x="49"/>
        <item x="46"/>
        <item x="52"/>
        <item x="15"/>
        <item x="16"/>
        <item x="73"/>
        <item x="17"/>
        <item x="64"/>
        <item x="18"/>
        <item x="68"/>
        <item x="19"/>
        <item x="43"/>
        <item x="20"/>
        <item x="21"/>
        <item x="50"/>
        <item x="22"/>
        <item x="23"/>
        <item x="24"/>
        <item x="51"/>
        <item x="25"/>
        <item x="26"/>
        <item x="27"/>
        <item x="28"/>
        <item x="53"/>
        <item x="47"/>
        <item x="44"/>
        <item x="29"/>
        <item x="69"/>
        <item x="30"/>
        <item x="31"/>
        <item x="54"/>
        <item x="32"/>
        <item x="33"/>
        <item x="34"/>
        <item x="72"/>
        <item x="55"/>
        <item x="65"/>
        <item x="56"/>
        <item x="35"/>
        <item x="36"/>
        <item x="37"/>
        <item x="38"/>
        <item x="57"/>
        <item x="39"/>
        <item x="58"/>
        <item x="59"/>
        <item x="67"/>
        <item x="40"/>
        <item x="41"/>
        <item x="48"/>
        <item x="71"/>
        <item x="42"/>
        <item x="60"/>
        <item t="default"/>
      </items>
    </pivotField>
    <pivotField axis="axisRow"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showAll="0"/>
    <pivotField multipleItemSelectionAllowed="1" showAll="0">
      <items count="13">
        <item x="0"/>
        <item x="1"/>
        <item x="2"/>
        <item x="3"/>
        <item x="4"/>
        <item x="5"/>
        <item x="6"/>
        <item x="7"/>
        <item x="8"/>
        <item x="9"/>
        <item x="10"/>
        <item x="11"/>
        <item t="default"/>
      </items>
    </pivotField>
    <pivotField showAll="0"/>
    <pivotField showAll="0"/>
    <pivotField showAll="0"/>
    <pivotField showAll="0"/>
    <pivotField showAll="0"/>
  </pivotFields>
  <rowFields count="1">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Items count="1">
    <i/>
  </colItems>
  <dataFields count="1">
    <dataField name="Count of Utility Name" fld="1" subtotal="count" baseField="0" baseItem="0"/>
  </dataFields>
  <chartFormats count="3">
    <chartFormat chart="14" format="11" series="1">
      <pivotArea type="data" outline="0" fieldPosition="0">
        <references count="1">
          <reference field="4294967294" count="1" selected="0">
            <x v="0"/>
          </reference>
        </references>
      </pivotArea>
    </chartFormat>
    <chartFormat chart="15" format="13" series="1">
      <pivotArea type="data" outline="0" fieldPosition="0">
        <references count="1">
          <reference field="4294967294" count="1" selected="0">
            <x v="0"/>
          </reference>
        </references>
      </pivotArea>
    </chartFormat>
    <chartFormat chart="17"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3F9EC2B-FEFE-4E83-BB62-D76D501A8486}"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4" fieldListSortAscending="1">
  <location ref="A4:C33" firstHeaderRow="0" firstDataRow="1" firstDataCol="1" rowPageCount="1" colPageCount="1"/>
  <pivotFields count="10">
    <pivotField showAll="0">
      <items count="6">
        <item x="2"/>
        <item h="1" x="0"/>
        <item h="1" x="3"/>
        <item h="1" x="1"/>
        <item h="1" x="4"/>
        <item t="default"/>
      </items>
    </pivotField>
    <pivotField axis="axisPage" multipleItemSelectionAllowed="1" showAll="0">
      <items count="75">
        <item x="0"/>
        <item x="1"/>
        <item x="2"/>
        <item x="61"/>
        <item x="45"/>
        <item x="3"/>
        <item x="4"/>
        <item x="62"/>
        <item x="5"/>
        <item x="63"/>
        <item x="6"/>
        <item x="7"/>
        <item x="8"/>
        <item x="9"/>
        <item x="10"/>
        <item x="70"/>
        <item x="11"/>
        <item x="12"/>
        <item x="13"/>
        <item x="66"/>
        <item x="14"/>
        <item x="49"/>
        <item x="46"/>
        <item x="52"/>
        <item x="15"/>
        <item x="16"/>
        <item x="73"/>
        <item x="17"/>
        <item x="64"/>
        <item x="18"/>
        <item x="68"/>
        <item x="19"/>
        <item x="43"/>
        <item x="20"/>
        <item x="21"/>
        <item x="50"/>
        <item x="22"/>
        <item x="23"/>
        <item x="24"/>
        <item x="51"/>
        <item x="25"/>
        <item x="26"/>
        <item x="27"/>
        <item x="28"/>
        <item x="53"/>
        <item x="47"/>
        <item x="44"/>
        <item x="29"/>
        <item x="69"/>
        <item x="30"/>
        <item x="31"/>
        <item x="54"/>
        <item x="32"/>
        <item x="33"/>
        <item x="34"/>
        <item x="72"/>
        <item x="55"/>
        <item x="65"/>
        <item x="56"/>
        <item x="35"/>
        <item x="36"/>
        <item x="37"/>
        <item x="38"/>
        <item x="57"/>
        <item x="39"/>
        <item x="58"/>
        <item x="59"/>
        <item x="67"/>
        <item x="40"/>
        <item x="41"/>
        <item x="48"/>
        <item x="71"/>
        <item x="42"/>
        <item x="60"/>
        <item t="default"/>
      </items>
    </pivotField>
    <pivotField axis="axisRow"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showAll="0"/>
    <pivotField dataField="1" multipleItemSelectionAllowed="1" showAll="0">
      <items count="13">
        <item x="0"/>
        <item x="1"/>
        <item x="2"/>
        <item x="3"/>
        <item x="4"/>
        <item x="5"/>
        <item x="6"/>
        <item x="7"/>
        <item x="8"/>
        <item x="9"/>
        <item x="10"/>
        <item x="11"/>
        <item t="default"/>
      </items>
    </pivotField>
    <pivotField showAll="0"/>
    <pivotField dataField="1" showAll="0"/>
    <pivotField showAll="0"/>
    <pivotField showAll="0"/>
    <pivotField showAll="0"/>
  </pivotFields>
  <rowFields count="1">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2"/>
  </colFields>
  <colItems count="2">
    <i>
      <x/>
    </i>
    <i i="1">
      <x v="1"/>
    </i>
  </colItems>
  <pageFields count="1">
    <pageField fld="1" hier="-1"/>
  </pageFields>
  <dataFields count="2">
    <dataField name="Sum of Industry" fld="6" baseField="2" baseItem="4" numFmtId="1"/>
    <dataField name="Sum of Commercial Building" fld="4" baseField="2" baseItem="15"/>
  </dataFields>
  <chartFormats count="4">
    <chartFormat chart="23" format="15" series="1">
      <pivotArea type="data" outline="0" fieldPosition="0">
        <references count="1">
          <reference field="4294967294" count="1" selected="0">
            <x v="0"/>
          </reference>
        </references>
      </pivotArea>
    </chartFormat>
    <chartFormat chart="18" format="14" series="1">
      <pivotArea type="data" outline="0" fieldPosition="0">
        <references count="1">
          <reference field="4294967294" count="1" selected="0">
            <x v="1"/>
          </reference>
        </references>
      </pivotArea>
    </chartFormat>
    <chartFormat chart="18" format="15" series="1">
      <pivotArea type="data" outline="0" fieldPosition="0">
        <references count="1">
          <reference field="4294967294" count="1" selected="0">
            <x v="0"/>
          </reference>
        </references>
      </pivotArea>
    </chartFormat>
    <chartFormat chart="23" format="1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Type" xr10:uid="{82A8EE08-2E06-42E6-AF95-FD23FF27089A}" sourceName="Utility Type">
  <pivotTables>
    <pivotTable tabId="5" name="PivotTable1"/>
    <pivotTable tabId="3" name="PivotTable1"/>
    <pivotTable tabId="6" name="PivotTable1"/>
    <pivotTable tabId="8" name="PivotTable1"/>
    <pivotTable tabId="11" name="PivotTable1"/>
  </pivotTables>
  <data>
    <tabular pivotCacheId="1470270229">
      <items count="5">
        <i x="2" s="1"/>
        <i x="0"/>
        <i x="3"/>
        <i x="1"/>
        <i x="4"/>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45ECD95F-03EA-4954-994C-42295C83F54B}" sourceName="Year">
  <pivotTables>
    <pivotTable tabId="5" name="PivotTable1"/>
    <pivotTable tabId="3" name="PivotTable1"/>
    <pivotTable tabId="6" name="PivotTable1"/>
    <pivotTable tabId="8" name="PivotTable1"/>
    <pivotTable tabId="11" name="PivotTable1"/>
  </pivotTables>
  <data>
    <tabular pivotCacheId="1470270229">
      <items count="28">
        <i x="0" s="1"/>
        <i x="1" s="1"/>
        <i x="2" s="1"/>
        <i x="3" s="1"/>
        <i x="4" s="1"/>
        <i x="5" s="1"/>
        <i x="6" s="1"/>
        <i x="7" s="1"/>
        <i x="8" s="1"/>
        <i x="9" s="1"/>
        <i x="10" s="1"/>
        <i x="11" s="1"/>
        <i x="12" s="1"/>
        <i x="13" s="1"/>
        <i x="14" s="1"/>
        <i x="15" s="1"/>
        <i x="16" s="1"/>
        <i x="17" s="1"/>
        <i x="18" s="1"/>
        <i x="19" s="1"/>
        <i x="20" s="1"/>
        <i x="21" s="1"/>
        <i x="22" s="1"/>
        <i x="23" s="1"/>
        <i x="24" s="1"/>
        <i x="25" s="1"/>
        <i x="26" s="1"/>
        <i x="27"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Name" xr10:uid="{7AC41C1C-0185-448B-AE59-BE16FC1CB40C}" sourceName="Utility Name">
  <pivotTables>
    <pivotTable tabId="11" name="PivotTable1"/>
    <pivotTable tabId="3" name="PivotTable1"/>
    <pivotTable tabId="5" name="PivotTable1"/>
    <pivotTable tabId="6" name="PivotTable1"/>
    <pivotTable tabId="8" name="PivotTable1"/>
  </pivotTables>
  <data>
    <tabular pivotCacheId="1470270229">
      <items count="74">
        <i x="3" s="1"/>
        <i x="27" s="1"/>
        <i x="32" s="1"/>
        <i x="34" s="1"/>
        <i x="0" s="1" nd="1"/>
        <i x="1" s="1" nd="1"/>
        <i x="2" s="1" nd="1"/>
        <i x="61" s="1" nd="1"/>
        <i x="45" s="1" nd="1"/>
        <i x="4" s="1" nd="1"/>
        <i x="62" s="1" nd="1"/>
        <i x="5" s="1" nd="1"/>
        <i x="63" s="1" nd="1"/>
        <i x="6" s="1" nd="1"/>
        <i x="7" s="1" nd="1"/>
        <i x="8" s="1" nd="1"/>
        <i x="9" s="1" nd="1"/>
        <i x="10" s="1" nd="1"/>
        <i x="70" s="1" nd="1"/>
        <i x="11" s="1" nd="1"/>
        <i x="12" s="1" nd="1"/>
        <i x="13" s="1" nd="1"/>
        <i x="66" s="1" nd="1"/>
        <i x="14" s="1" nd="1"/>
        <i x="49" s="1" nd="1"/>
        <i x="46" s="1" nd="1"/>
        <i x="52" s="1" nd="1"/>
        <i x="15" s="1" nd="1"/>
        <i x="16" s="1" nd="1"/>
        <i x="73" s="1" nd="1"/>
        <i x="17" s="1" nd="1"/>
        <i x="64" s="1" nd="1"/>
        <i x="18" s="1" nd="1"/>
        <i x="68" s="1" nd="1"/>
        <i x="19" s="1" nd="1"/>
        <i x="43" s="1" nd="1"/>
        <i x="20" s="1" nd="1"/>
        <i x="21" s="1" nd="1"/>
        <i x="50" s="1" nd="1"/>
        <i x="22" s="1" nd="1"/>
        <i x="23" s="1" nd="1"/>
        <i x="24" s="1" nd="1"/>
        <i x="51" s="1" nd="1"/>
        <i x="25" s="1" nd="1"/>
        <i x="26" s="1" nd="1"/>
        <i x="28" s="1" nd="1"/>
        <i x="53" s="1" nd="1"/>
        <i x="47" s="1" nd="1"/>
        <i x="44" s="1" nd="1"/>
        <i x="29" s="1" nd="1"/>
        <i x="69" s="1" nd="1"/>
        <i x="30" s="1" nd="1"/>
        <i x="31" s="1" nd="1"/>
        <i x="54" s="1" nd="1"/>
        <i x="33" s="1" nd="1"/>
        <i x="72" s="1" nd="1"/>
        <i x="55" s="1" nd="1"/>
        <i x="65" s="1" nd="1"/>
        <i x="56" s="1" nd="1"/>
        <i x="35" s="1" nd="1"/>
        <i x="36" s="1" nd="1"/>
        <i x="37" s="1" nd="1"/>
        <i x="38" s="1" nd="1"/>
        <i x="57" s="1" nd="1"/>
        <i x="39" s="1" nd="1"/>
        <i x="58" s="1" nd="1"/>
        <i x="59" s="1" nd="1"/>
        <i x="67" s="1" nd="1"/>
        <i x="40" s="1" nd="1"/>
        <i x="41" s="1" nd="1"/>
        <i x="48" s="1" nd="1"/>
        <i x="71" s="1" nd="1"/>
        <i x="42" s="1" nd="1"/>
        <i x="6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tility Type" xr10:uid="{3EA6AC36-9F48-4A5A-9F04-1DA40EF4020C}" cache="Slicer_Utility_Type" caption="Utility Type" style="SlicerStyleLight3" rowHeight="241300"/>
  <slicer name="Year" xr10:uid="{9F704AFA-47B4-4C1D-9607-E942B706FE64}" cache="Slicer_Year" caption="Year" style="SlicerStyleDark1" rowHeight="241300"/>
  <slicer name="Utility Name" xr10:uid="{6E47E916-F0DE-439A-AA93-4224602B887A}" cache="Slicer_Utility_Name" caption="Utility Name" style="SlicerStyleLight2" rowHeight="241300"/>
</slicers>
</file>

<file path=xl/theme/theme1.xml><?xml version="1.0" encoding="utf-8"?>
<a:theme xmlns:a="http://schemas.openxmlformats.org/drawingml/2006/main" name="Offic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name="Office">
      <a:fillStyleLst>
        <a:noFill/>
        <a:noFill/>
        <a:noFill/>
      </a:fillStyleLst>
      <a:lnStyleLst>
        <a:ln/>
        <a:ln/>
        <a:ln/>
      </a:lnStyleLst>
      <a:effectStyleLst>
        <a:effectStyle>
          <a:effectLst/>
        </a:effectStyle>
        <a:effectStyle>
          <a:effectLst/>
        </a:effectStyle>
        <a:effectStyle>
          <a:effectLst/>
        </a:effectStyle>
      </a:effectStyleLst>
      <a:bgFillStyleLst>
        <a:noFill/>
        <a:noFill/>
        <a:no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www.zip2tax.com/Website/pagesTaxRates/z2t_lookup.asp?"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5.bin"/><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6.bin"/><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7.bin"/><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46698-ED17-4A8A-8085-1A8F4C0BB72D}">
  <sheetPr codeName="Sheet2"/>
  <dimension ref="A1"/>
  <sheetViews>
    <sheetView tabSelected="1" zoomScale="98" zoomScaleNormal="98" workbookViewId="0">
      <selection activeCell="W30" sqref="W30"/>
    </sheetView>
  </sheetViews>
  <sheetFormatPr defaultRowHeight="15" x14ac:dyDescent="0.25"/>
  <cols>
    <col min="1" max="8" width="9.140625" style="4"/>
    <col min="9" max="9" width="9.140625" style="4" customWidth="1"/>
    <col min="10" max="11" width="9.140625" style="4"/>
    <col min="12" max="12" width="9.140625" style="4" customWidth="1"/>
    <col min="13" max="14" width="9.140625" style="4"/>
    <col min="15" max="15" width="10" style="4" customWidth="1"/>
    <col min="16" max="16384" width="9.140625" style="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628"/>
  <sheetViews>
    <sheetView workbookViewId="0">
      <selection activeCell="B173" sqref="B173"/>
    </sheetView>
  </sheetViews>
  <sheetFormatPr defaultColWidth="9.28515625" defaultRowHeight="15" x14ac:dyDescent="0.25"/>
  <cols>
    <col min="1" max="1" width="26.7109375" bestFit="1" customWidth="1"/>
    <col min="2" max="2" width="47.7109375" bestFit="1" customWidth="1"/>
    <col min="3" max="3" width="5" bestFit="1" customWidth="1"/>
    <col min="4" max="4" width="16.7109375" bestFit="1" customWidth="1"/>
    <col min="5" max="5" width="19.5703125" bestFit="1" customWidth="1"/>
    <col min="6" max="6" width="17.42578125" bestFit="1" customWidth="1"/>
    <col min="7" max="7" width="12" bestFit="1" customWidth="1"/>
    <col min="8" max="8" width="21" bestFit="1" customWidth="1"/>
    <col min="9" max="10" width="12" bestFit="1" customWidth="1"/>
    <col min="12" max="12" width="30.140625" bestFit="1" customWidth="1"/>
    <col min="13" max="13" width="19.42578125" bestFit="1" customWidth="1"/>
    <col min="14" max="14" width="33.28515625" bestFit="1" customWidth="1"/>
    <col min="15" max="15" width="17.7109375" bestFit="1" customWidth="1"/>
    <col min="16" max="16" width="47.7109375" bestFit="1" customWidth="1"/>
  </cols>
  <sheetData>
    <row r="1" spans="1:15" x14ac:dyDescent="0.25">
      <c r="A1" s="293" t="s">
        <v>103</v>
      </c>
      <c r="B1" s="293"/>
      <c r="C1" s="293"/>
      <c r="D1" s="293">
        <v>55</v>
      </c>
      <c r="E1" s="293"/>
    </row>
    <row r="2" spans="1:15" x14ac:dyDescent="0.25">
      <c r="A2" s="5"/>
    </row>
    <row r="3" spans="1:15" ht="29.25" customHeight="1" x14ac:dyDescent="0.3">
      <c r="A3" s="5"/>
      <c r="L3" s="292" t="s">
        <v>108</v>
      </c>
      <c r="M3" s="292"/>
      <c r="N3" s="292"/>
      <c r="O3" s="7"/>
    </row>
    <row r="4" spans="1:15" s="5" customFormat="1" x14ac:dyDescent="0.25">
      <c r="A4" s="5" t="s">
        <v>0</v>
      </c>
      <c r="B4" s="5" t="s">
        <v>6</v>
      </c>
      <c r="C4" s="5" t="s">
        <v>80</v>
      </c>
      <c r="D4" s="5" t="s">
        <v>81</v>
      </c>
      <c r="E4" s="5" t="s">
        <v>82</v>
      </c>
      <c r="F4" s="5" t="s">
        <v>83</v>
      </c>
      <c r="G4" s="5" t="s">
        <v>84</v>
      </c>
      <c r="H4" s="5" t="s">
        <v>85</v>
      </c>
      <c r="I4" s="5" t="s">
        <v>86</v>
      </c>
      <c r="J4" s="5" t="s">
        <v>87</v>
      </c>
      <c r="M4" s="5" t="s">
        <v>106</v>
      </c>
      <c r="N4" s="5" t="s">
        <v>107</v>
      </c>
    </row>
    <row r="5" spans="1:15" x14ac:dyDescent="0.25">
      <c r="A5" t="s">
        <v>1</v>
      </c>
      <c r="B5" t="s">
        <v>7</v>
      </c>
      <c r="C5" s="9">
        <v>1990</v>
      </c>
      <c r="D5">
        <v>7.2557999999999997E-2</v>
      </c>
      <c r="E5">
        <v>1.6280000000000001E-3</v>
      </c>
      <c r="F5">
        <v>0</v>
      </c>
      <c r="G5">
        <v>40.359760999999999</v>
      </c>
      <c r="H5">
        <v>0</v>
      </c>
      <c r="I5">
        <v>0</v>
      </c>
      <c r="J5">
        <v>40.433947000000003</v>
      </c>
      <c r="L5" s="5" t="s">
        <v>82</v>
      </c>
      <c r="M5">
        <f>MAX(E5:E628)</f>
        <v>938.02010800000005</v>
      </c>
      <c r="N5" t="str">
        <f>INDEX($A$4:$J$628,MATCH(M5,$E$5:$E$628,0),2)</f>
        <v>Long Beach Gas Department</v>
      </c>
    </row>
    <row r="6" spans="1:15" x14ac:dyDescent="0.25">
      <c r="A6" t="s">
        <v>2</v>
      </c>
      <c r="B6" t="s">
        <v>8</v>
      </c>
      <c r="C6" s="9">
        <v>1990</v>
      </c>
      <c r="D6">
        <v>0</v>
      </c>
      <c r="E6">
        <v>0</v>
      </c>
      <c r="F6">
        <v>0</v>
      </c>
      <c r="G6">
        <v>2.9782150000000001</v>
      </c>
      <c r="H6">
        <v>42.365785000000002</v>
      </c>
      <c r="I6">
        <v>0</v>
      </c>
      <c r="J6">
        <v>45.344000000000001</v>
      </c>
      <c r="L6" s="5" t="s">
        <v>105</v>
      </c>
      <c r="M6">
        <f>MAX(G5:G628)</f>
        <v>2001.197991</v>
      </c>
      <c r="N6" t="str">
        <f>INDEX($A$4:$J$628,MATCH(M6,$G$5:$G$628,0),2)</f>
        <v>Long Beach Gas Department</v>
      </c>
    </row>
    <row r="7" spans="1:15" x14ac:dyDescent="0.25">
      <c r="A7" t="s">
        <v>2</v>
      </c>
      <c r="B7" t="s">
        <v>9</v>
      </c>
      <c r="C7" s="9">
        <v>1990</v>
      </c>
      <c r="D7">
        <v>0</v>
      </c>
      <c r="E7">
        <v>0</v>
      </c>
      <c r="F7">
        <v>0</v>
      </c>
      <c r="G7">
        <v>1.992615</v>
      </c>
      <c r="H7">
        <v>0</v>
      </c>
      <c r="I7">
        <v>0</v>
      </c>
      <c r="J7">
        <v>1.992615</v>
      </c>
      <c r="L7" s="5" t="s">
        <v>85</v>
      </c>
      <c r="M7">
        <f>MAX(H5:H628)</f>
        <v>2337.5663599999998</v>
      </c>
      <c r="N7" t="str">
        <f>INDEX($A$4:$J$628,MATCH(M7,$H$5:$H$628,0),2)</f>
        <v>Gas Producer</v>
      </c>
    </row>
    <row r="8" spans="1:15" x14ac:dyDescent="0.25">
      <c r="A8" t="s">
        <v>3</v>
      </c>
      <c r="B8" t="s">
        <v>10</v>
      </c>
      <c r="C8" s="9">
        <v>1990</v>
      </c>
      <c r="D8">
        <v>0.36957800000000002</v>
      </c>
      <c r="E8">
        <v>6.3133990000000004</v>
      </c>
      <c r="F8">
        <v>7.3585999999999999E-2</v>
      </c>
      <c r="G8">
        <v>8.5025000000000003E-2</v>
      </c>
      <c r="H8">
        <v>4.5374999999999999E-2</v>
      </c>
      <c r="I8">
        <v>4.28E-3</v>
      </c>
      <c r="J8">
        <v>6.8912430000000002</v>
      </c>
      <c r="L8" s="5" t="s">
        <v>81</v>
      </c>
      <c r="M8">
        <f>MAX(D5:D628)</f>
        <v>101.360961</v>
      </c>
      <c r="N8" t="str">
        <f>INDEX($A$4:$J$628,MATCH(M8,$D$5:$D$628,0),2)</f>
        <v>San Diego Gas and Electric Company</v>
      </c>
    </row>
    <row r="9" spans="1:15" x14ac:dyDescent="0.25">
      <c r="A9" t="s">
        <v>2</v>
      </c>
      <c r="B9" t="s">
        <v>11</v>
      </c>
      <c r="C9" s="9">
        <v>1990</v>
      </c>
      <c r="D9">
        <v>0</v>
      </c>
      <c r="E9">
        <v>0</v>
      </c>
      <c r="F9">
        <v>0</v>
      </c>
      <c r="G9">
        <v>0</v>
      </c>
      <c r="H9">
        <v>0.47515200000000002</v>
      </c>
      <c r="I9">
        <v>0</v>
      </c>
      <c r="J9">
        <v>0.47515200000000002</v>
      </c>
    </row>
    <row r="10" spans="1:15" x14ac:dyDescent="0.25">
      <c r="A10" t="s">
        <v>1</v>
      </c>
      <c r="B10" t="s">
        <v>12</v>
      </c>
      <c r="C10" s="9">
        <v>1990</v>
      </c>
      <c r="D10">
        <v>0</v>
      </c>
      <c r="E10">
        <v>0</v>
      </c>
      <c r="F10">
        <v>0</v>
      </c>
      <c r="G10">
        <v>0</v>
      </c>
      <c r="H10">
        <v>95.412407000000002</v>
      </c>
      <c r="I10">
        <v>0</v>
      </c>
      <c r="J10">
        <v>95.412407000000002</v>
      </c>
    </row>
    <row r="11" spans="1:15" x14ac:dyDescent="0.25">
      <c r="A11" t="s">
        <v>2</v>
      </c>
      <c r="B11" t="s">
        <v>13</v>
      </c>
      <c r="C11" s="9">
        <v>1990</v>
      </c>
      <c r="D11">
        <v>0</v>
      </c>
      <c r="E11">
        <v>0</v>
      </c>
      <c r="F11">
        <v>0</v>
      </c>
      <c r="G11">
        <v>1.439127</v>
      </c>
      <c r="H11">
        <v>0</v>
      </c>
      <c r="I11">
        <v>0</v>
      </c>
      <c r="J11">
        <v>1.439127</v>
      </c>
    </row>
    <row r="12" spans="1:15" x14ac:dyDescent="0.25">
      <c r="A12" t="s">
        <v>2</v>
      </c>
      <c r="B12" t="s">
        <v>14</v>
      </c>
      <c r="C12" s="9">
        <v>1990</v>
      </c>
      <c r="D12">
        <v>0</v>
      </c>
      <c r="E12">
        <v>0</v>
      </c>
      <c r="F12">
        <v>0</v>
      </c>
      <c r="G12">
        <v>13.743664000000001</v>
      </c>
      <c r="H12">
        <v>0</v>
      </c>
      <c r="I12">
        <v>0</v>
      </c>
      <c r="J12">
        <v>13.743664000000001</v>
      </c>
    </row>
    <row r="13" spans="1:15" x14ac:dyDescent="0.25">
      <c r="A13" t="s">
        <v>1</v>
      </c>
      <c r="B13" t="s">
        <v>15</v>
      </c>
      <c r="C13" s="9">
        <v>1990</v>
      </c>
      <c r="D13">
        <v>0</v>
      </c>
      <c r="E13">
        <v>0</v>
      </c>
      <c r="F13">
        <v>0</v>
      </c>
      <c r="G13">
        <v>176.92672200000001</v>
      </c>
      <c r="H13">
        <v>225.42721800000001</v>
      </c>
      <c r="I13">
        <v>0</v>
      </c>
      <c r="J13">
        <v>402.35394000000002</v>
      </c>
    </row>
    <row r="14" spans="1:15" x14ac:dyDescent="0.25">
      <c r="A14" t="s">
        <v>2</v>
      </c>
      <c r="B14" t="s">
        <v>16</v>
      </c>
      <c r="C14" s="9">
        <v>1990</v>
      </c>
      <c r="D14">
        <v>0</v>
      </c>
      <c r="E14">
        <v>0</v>
      </c>
      <c r="F14">
        <v>0</v>
      </c>
      <c r="G14">
        <v>11.803032</v>
      </c>
      <c r="H14">
        <v>0</v>
      </c>
      <c r="I14">
        <v>0</v>
      </c>
      <c r="J14">
        <v>11.803032</v>
      </c>
    </row>
    <row r="15" spans="1:15" x14ac:dyDescent="0.25">
      <c r="A15" t="s">
        <v>4</v>
      </c>
      <c r="B15" t="s">
        <v>17</v>
      </c>
      <c r="C15" s="9">
        <v>1990</v>
      </c>
      <c r="D15">
        <v>0</v>
      </c>
      <c r="E15">
        <v>0.99503399999999997</v>
      </c>
      <c r="F15">
        <v>0</v>
      </c>
      <c r="G15">
        <v>2.8E-3</v>
      </c>
      <c r="H15">
        <v>0</v>
      </c>
      <c r="I15">
        <v>1.479654</v>
      </c>
      <c r="J15">
        <v>2.4774880000000001</v>
      </c>
    </row>
    <row r="16" spans="1:15" x14ac:dyDescent="0.25">
      <c r="A16" t="s">
        <v>2</v>
      </c>
      <c r="B16" t="s">
        <v>18</v>
      </c>
      <c r="C16" s="9">
        <v>1990</v>
      </c>
      <c r="D16">
        <v>0</v>
      </c>
      <c r="E16">
        <v>0</v>
      </c>
      <c r="F16">
        <v>0</v>
      </c>
      <c r="G16">
        <v>0</v>
      </c>
      <c r="H16">
        <v>0.241123</v>
      </c>
      <c r="I16">
        <v>0</v>
      </c>
      <c r="J16">
        <v>0.241123</v>
      </c>
    </row>
    <row r="17" spans="1:10" x14ac:dyDescent="0.25">
      <c r="A17" t="s">
        <v>2</v>
      </c>
      <c r="B17" t="s">
        <v>19</v>
      </c>
      <c r="C17" s="9">
        <v>1990</v>
      </c>
      <c r="D17">
        <v>0</v>
      </c>
      <c r="E17">
        <v>0</v>
      </c>
      <c r="F17">
        <v>0</v>
      </c>
      <c r="G17">
        <v>17.870227</v>
      </c>
      <c r="H17">
        <v>0</v>
      </c>
      <c r="I17">
        <v>0</v>
      </c>
      <c r="J17">
        <v>17.870227</v>
      </c>
    </row>
    <row r="18" spans="1:10" x14ac:dyDescent="0.25">
      <c r="A18" t="s">
        <v>2</v>
      </c>
      <c r="B18" t="s">
        <v>20</v>
      </c>
      <c r="C18" s="9">
        <v>1990</v>
      </c>
      <c r="D18">
        <v>0</v>
      </c>
      <c r="E18">
        <v>0</v>
      </c>
      <c r="F18">
        <v>0</v>
      </c>
      <c r="G18">
        <v>4.3035999999999998E-2</v>
      </c>
      <c r="H18">
        <v>0</v>
      </c>
      <c r="I18">
        <v>0</v>
      </c>
      <c r="J18">
        <v>4.3035999999999998E-2</v>
      </c>
    </row>
    <row r="19" spans="1:10" x14ac:dyDescent="0.25">
      <c r="A19" t="s">
        <v>2</v>
      </c>
      <c r="B19" t="s">
        <v>21</v>
      </c>
      <c r="C19" s="9">
        <v>1990</v>
      </c>
      <c r="D19">
        <v>0</v>
      </c>
      <c r="E19">
        <v>0</v>
      </c>
      <c r="F19">
        <v>0</v>
      </c>
      <c r="G19">
        <v>0.64734999999999998</v>
      </c>
      <c r="H19">
        <v>0</v>
      </c>
      <c r="I19">
        <v>0</v>
      </c>
      <c r="J19">
        <v>0.64734999999999998</v>
      </c>
    </row>
    <row r="20" spans="1:10" x14ac:dyDescent="0.25">
      <c r="A20" t="s">
        <v>2</v>
      </c>
      <c r="B20" t="s">
        <v>22</v>
      </c>
      <c r="C20" s="9">
        <v>1990</v>
      </c>
      <c r="D20">
        <v>0</v>
      </c>
      <c r="E20">
        <v>0</v>
      </c>
      <c r="F20">
        <v>0</v>
      </c>
      <c r="G20">
        <v>0.173677</v>
      </c>
      <c r="H20">
        <v>0</v>
      </c>
      <c r="I20">
        <v>0</v>
      </c>
      <c r="J20">
        <v>0.173677</v>
      </c>
    </row>
    <row r="21" spans="1:10" x14ac:dyDescent="0.25">
      <c r="A21" t="s">
        <v>2</v>
      </c>
      <c r="B21" t="s">
        <v>23</v>
      </c>
      <c r="C21" s="9">
        <v>1990</v>
      </c>
      <c r="D21">
        <v>0</v>
      </c>
      <c r="E21">
        <v>0</v>
      </c>
      <c r="F21">
        <v>0</v>
      </c>
      <c r="G21">
        <v>0</v>
      </c>
      <c r="H21">
        <v>10.710686000000001</v>
      </c>
      <c r="I21">
        <v>0</v>
      </c>
      <c r="J21">
        <v>10.710686000000001</v>
      </c>
    </row>
    <row r="22" spans="1:10" x14ac:dyDescent="0.25">
      <c r="A22" t="s">
        <v>2</v>
      </c>
      <c r="B22" t="s">
        <v>24</v>
      </c>
      <c r="C22" s="9">
        <v>1990</v>
      </c>
      <c r="D22">
        <v>0</v>
      </c>
      <c r="E22">
        <v>0</v>
      </c>
      <c r="F22">
        <v>0</v>
      </c>
      <c r="G22">
        <v>3.8753639999999998</v>
      </c>
      <c r="H22">
        <v>0</v>
      </c>
      <c r="I22">
        <v>0</v>
      </c>
      <c r="J22">
        <v>3.8753639999999998</v>
      </c>
    </row>
    <row r="23" spans="1:10" x14ac:dyDescent="0.25">
      <c r="A23" t="s">
        <v>2</v>
      </c>
      <c r="B23" t="s">
        <v>25</v>
      </c>
      <c r="C23" s="9">
        <v>1990</v>
      </c>
      <c r="D23">
        <v>0</v>
      </c>
      <c r="E23">
        <v>0</v>
      </c>
      <c r="F23">
        <v>0</v>
      </c>
      <c r="G23">
        <v>0.133633</v>
      </c>
      <c r="H23">
        <v>0</v>
      </c>
      <c r="I23">
        <v>0</v>
      </c>
      <c r="J23">
        <v>0.133633</v>
      </c>
    </row>
    <row r="24" spans="1:10" x14ac:dyDescent="0.25">
      <c r="A24" t="s">
        <v>4</v>
      </c>
      <c r="B24" t="s">
        <v>26</v>
      </c>
      <c r="C24" s="9">
        <v>1990</v>
      </c>
      <c r="D24">
        <v>3.7616999999999998E-2</v>
      </c>
      <c r="E24">
        <v>25.491181999999998</v>
      </c>
      <c r="F24">
        <v>0.32936100000000001</v>
      </c>
      <c r="G24">
        <v>16.186692000000001</v>
      </c>
      <c r="H24">
        <v>1.169756</v>
      </c>
      <c r="I24">
        <v>57.946373000000001</v>
      </c>
      <c r="J24">
        <v>101.16098100000001</v>
      </c>
    </row>
    <row r="25" spans="1:10" x14ac:dyDescent="0.25">
      <c r="A25" t="s">
        <v>2</v>
      </c>
      <c r="B25" t="s">
        <v>27</v>
      </c>
      <c r="C25" s="9">
        <v>1990</v>
      </c>
      <c r="D25">
        <v>0</v>
      </c>
      <c r="E25">
        <v>0</v>
      </c>
      <c r="F25">
        <v>0</v>
      </c>
      <c r="G25">
        <v>0</v>
      </c>
      <c r="H25">
        <v>0.96150999999999998</v>
      </c>
      <c r="I25">
        <v>0</v>
      </c>
      <c r="J25">
        <v>0.96150999999999998</v>
      </c>
    </row>
    <row r="26" spans="1:10" x14ac:dyDescent="0.25">
      <c r="A26" t="s">
        <v>2</v>
      </c>
      <c r="B26" t="s">
        <v>28</v>
      </c>
      <c r="C26" s="9">
        <v>1990</v>
      </c>
      <c r="D26">
        <v>0</v>
      </c>
      <c r="E26">
        <v>0</v>
      </c>
      <c r="F26">
        <v>0</v>
      </c>
      <c r="G26">
        <v>0</v>
      </c>
      <c r="H26">
        <v>22.521743000000001</v>
      </c>
      <c r="I26">
        <v>0</v>
      </c>
      <c r="J26">
        <v>22.521743000000001</v>
      </c>
    </row>
    <row r="27" spans="1:10" x14ac:dyDescent="0.25">
      <c r="A27" t="s">
        <v>2</v>
      </c>
      <c r="B27" t="s">
        <v>29</v>
      </c>
      <c r="C27" s="9">
        <v>1990</v>
      </c>
      <c r="D27">
        <v>0</v>
      </c>
      <c r="E27">
        <v>0</v>
      </c>
      <c r="F27">
        <v>0</v>
      </c>
      <c r="G27">
        <v>8.2236000000000004E-2</v>
      </c>
      <c r="H27">
        <v>0</v>
      </c>
      <c r="I27">
        <v>0</v>
      </c>
      <c r="J27">
        <v>8.2236000000000004E-2</v>
      </c>
    </row>
    <row r="28" spans="1:10" x14ac:dyDescent="0.25">
      <c r="A28" t="s">
        <v>2</v>
      </c>
      <c r="B28" t="s">
        <v>30</v>
      </c>
      <c r="C28" s="9">
        <v>1990</v>
      </c>
      <c r="D28">
        <v>0</v>
      </c>
      <c r="E28">
        <v>0</v>
      </c>
      <c r="F28">
        <v>0</v>
      </c>
      <c r="G28">
        <v>0</v>
      </c>
      <c r="H28">
        <v>93.908734999999993</v>
      </c>
      <c r="I28">
        <v>0</v>
      </c>
      <c r="J28">
        <v>93.908734999999993</v>
      </c>
    </row>
    <row r="29" spans="1:10" x14ac:dyDescent="0.25">
      <c r="A29" t="s">
        <v>2</v>
      </c>
      <c r="B29" t="s">
        <v>31</v>
      </c>
      <c r="C29" s="9">
        <v>1990</v>
      </c>
      <c r="D29">
        <v>0</v>
      </c>
      <c r="E29">
        <v>0</v>
      </c>
      <c r="F29">
        <v>0</v>
      </c>
      <c r="G29">
        <v>2.0974780000000002</v>
      </c>
      <c r="H29">
        <v>0</v>
      </c>
      <c r="I29">
        <v>0</v>
      </c>
      <c r="J29">
        <v>2.0974780000000002</v>
      </c>
    </row>
    <row r="30" spans="1:10" x14ac:dyDescent="0.25">
      <c r="A30" t="s">
        <v>2</v>
      </c>
      <c r="B30" t="s">
        <v>32</v>
      </c>
      <c r="C30" s="9">
        <v>1990</v>
      </c>
      <c r="D30">
        <v>0</v>
      </c>
      <c r="E30">
        <v>0</v>
      </c>
      <c r="F30">
        <v>0</v>
      </c>
      <c r="G30">
        <v>1.2215609999999999</v>
      </c>
      <c r="H30">
        <v>0</v>
      </c>
      <c r="I30">
        <v>0</v>
      </c>
      <c r="J30">
        <v>1.2215609999999999</v>
      </c>
    </row>
    <row r="31" spans="1:10" x14ac:dyDescent="0.25">
      <c r="A31" t="s">
        <v>2</v>
      </c>
      <c r="B31" t="s">
        <v>33</v>
      </c>
      <c r="C31" s="9">
        <v>1990</v>
      </c>
      <c r="D31">
        <v>0.23614199999999999</v>
      </c>
      <c r="E31">
        <v>0</v>
      </c>
      <c r="F31">
        <v>0</v>
      </c>
      <c r="G31">
        <v>0</v>
      </c>
      <c r="H31">
        <v>4.1453049999999996</v>
      </c>
      <c r="I31">
        <v>0</v>
      </c>
      <c r="J31">
        <v>4.3814469999999996</v>
      </c>
    </row>
    <row r="32" spans="1:10" x14ac:dyDescent="0.25">
      <c r="A32" t="s">
        <v>3</v>
      </c>
      <c r="B32" t="s">
        <v>34</v>
      </c>
      <c r="C32" s="9">
        <v>1990</v>
      </c>
      <c r="D32">
        <v>61.259016000000003</v>
      </c>
      <c r="E32">
        <v>718.75054499999999</v>
      </c>
      <c r="F32">
        <v>45.895930999999997</v>
      </c>
      <c r="G32">
        <v>1649.4452590000001</v>
      </c>
      <c r="H32">
        <v>78.667895999999999</v>
      </c>
      <c r="I32">
        <v>2090.9226960000001</v>
      </c>
      <c r="J32">
        <v>4644.9413430000004</v>
      </c>
    </row>
    <row r="33" spans="1:10" x14ac:dyDescent="0.25">
      <c r="A33" t="s">
        <v>4</v>
      </c>
      <c r="B33" t="s">
        <v>35</v>
      </c>
      <c r="C33" s="9">
        <v>1990</v>
      </c>
      <c r="D33">
        <v>9.59E-4</v>
      </c>
      <c r="E33">
        <v>16.412858</v>
      </c>
      <c r="F33">
        <v>7.4630000000000002E-2</v>
      </c>
      <c r="G33">
        <v>4.5899039999999998</v>
      </c>
      <c r="H33">
        <v>3.0294000000000001E-2</v>
      </c>
      <c r="I33">
        <v>16.373664999999999</v>
      </c>
      <c r="J33">
        <v>37.482309999999998</v>
      </c>
    </row>
    <row r="34" spans="1:10" x14ac:dyDescent="0.25">
      <c r="A34" t="s">
        <v>2</v>
      </c>
      <c r="B34" t="s">
        <v>36</v>
      </c>
      <c r="C34" s="9">
        <v>1990</v>
      </c>
      <c r="D34">
        <v>0</v>
      </c>
      <c r="E34">
        <v>0</v>
      </c>
      <c r="F34">
        <v>0</v>
      </c>
      <c r="G34">
        <v>0.17876</v>
      </c>
      <c r="H34">
        <v>0.64098500000000003</v>
      </c>
      <c r="I34">
        <v>0</v>
      </c>
      <c r="J34">
        <v>0.81974499999999995</v>
      </c>
    </row>
    <row r="35" spans="1:10" x14ac:dyDescent="0.25">
      <c r="A35" t="s">
        <v>2</v>
      </c>
      <c r="B35" t="s">
        <v>37</v>
      </c>
      <c r="C35" s="9">
        <v>1990</v>
      </c>
      <c r="D35">
        <v>0</v>
      </c>
      <c r="E35">
        <v>0</v>
      </c>
      <c r="F35">
        <v>0</v>
      </c>
      <c r="G35">
        <v>1.1125890000000001</v>
      </c>
      <c r="H35">
        <v>3.3943000000000001E-2</v>
      </c>
      <c r="I35">
        <v>0</v>
      </c>
      <c r="J35">
        <v>1.1465320000000001</v>
      </c>
    </row>
    <row r="36" spans="1:10" x14ac:dyDescent="0.25">
      <c r="A36" t="s">
        <v>2</v>
      </c>
      <c r="B36" t="s">
        <v>38</v>
      </c>
      <c r="C36" s="9">
        <v>1990</v>
      </c>
      <c r="D36">
        <v>0</v>
      </c>
      <c r="E36">
        <v>0</v>
      </c>
      <c r="F36">
        <v>0</v>
      </c>
      <c r="G36">
        <v>0.29836699999999999</v>
      </c>
      <c r="H36">
        <v>0</v>
      </c>
      <c r="I36">
        <v>0</v>
      </c>
      <c r="J36">
        <v>0.29836699999999999</v>
      </c>
    </row>
    <row r="37" spans="1:10" x14ac:dyDescent="0.25">
      <c r="A37" t="s">
        <v>3</v>
      </c>
      <c r="B37" t="s">
        <v>39</v>
      </c>
      <c r="C37" s="9">
        <v>1990</v>
      </c>
      <c r="D37">
        <v>6.4655009999999997</v>
      </c>
      <c r="E37">
        <v>115.689617</v>
      </c>
      <c r="F37">
        <v>19.782419000000001</v>
      </c>
      <c r="G37">
        <v>33.377237000000001</v>
      </c>
      <c r="H37">
        <v>5.2758060000000002</v>
      </c>
      <c r="I37">
        <v>337.91490399999998</v>
      </c>
      <c r="J37">
        <v>518.50548400000002</v>
      </c>
    </row>
    <row r="38" spans="1:10" x14ac:dyDescent="0.25">
      <c r="A38" t="s">
        <v>2</v>
      </c>
      <c r="B38" t="s">
        <v>40</v>
      </c>
      <c r="C38" s="9">
        <v>1990</v>
      </c>
      <c r="D38">
        <v>0</v>
      </c>
      <c r="E38">
        <v>0</v>
      </c>
      <c r="F38">
        <v>0</v>
      </c>
      <c r="G38">
        <v>5.8159380000000001</v>
      </c>
      <c r="H38">
        <v>1.338157</v>
      </c>
      <c r="I38">
        <v>0</v>
      </c>
      <c r="J38">
        <v>7.1540949999999999</v>
      </c>
    </row>
    <row r="39" spans="1:10" x14ac:dyDescent="0.25">
      <c r="A39" t="s">
        <v>3</v>
      </c>
      <c r="B39" t="s">
        <v>41</v>
      </c>
      <c r="C39" s="9">
        <v>1990</v>
      </c>
      <c r="D39">
        <v>56.225745000000003</v>
      </c>
      <c r="E39">
        <v>757.80782999999997</v>
      </c>
      <c r="F39">
        <v>57.704821000000003</v>
      </c>
      <c r="G39">
        <v>1069.731295</v>
      </c>
      <c r="H39">
        <v>586.27234399999998</v>
      </c>
      <c r="I39">
        <v>2629.3475130000002</v>
      </c>
      <c r="J39">
        <v>5157.0895479999999</v>
      </c>
    </row>
    <row r="40" spans="1:10" x14ac:dyDescent="0.25">
      <c r="A40" t="s">
        <v>2</v>
      </c>
      <c r="B40" t="s">
        <v>42</v>
      </c>
      <c r="C40" s="9">
        <v>1990</v>
      </c>
      <c r="D40">
        <v>0</v>
      </c>
      <c r="E40">
        <v>0</v>
      </c>
      <c r="F40">
        <v>0</v>
      </c>
      <c r="G40">
        <v>0</v>
      </c>
      <c r="H40">
        <v>39.273237000000002</v>
      </c>
      <c r="I40">
        <v>0</v>
      </c>
      <c r="J40">
        <v>39.273237000000002</v>
      </c>
    </row>
    <row r="41" spans="1:10" x14ac:dyDescent="0.25">
      <c r="A41" t="s">
        <v>2</v>
      </c>
      <c r="B41" t="s">
        <v>43</v>
      </c>
      <c r="C41" s="9">
        <v>1990</v>
      </c>
      <c r="D41">
        <v>0</v>
      </c>
      <c r="E41">
        <v>0</v>
      </c>
      <c r="F41">
        <v>0</v>
      </c>
      <c r="G41">
        <v>0</v>
      </c>
      <c r="H41">
        <v>56.680447999999998</v>
      </c>
      <c r="I41">
        <v>0</v>
      </c>
      <c r="J41">
        <v>56.680447999999998</v>
      </c>
    </row>
    <row r="42" spans="1:10" x14ac:dyDescent="0.25">
      <c r="A42" t="s">
        <v>2</v>
      </c>
      <c r="B42" t="s">
        <v>44</v>
      </c>
      <c r="C42" s="9">
        <v>1990</v>
      </c>
      <c r="D42">
        <v>0</v>
      </c>
      <c r="E42">
        <v>0</v>
      </c>
      <c r="F42">
        <v>0</v>
      </c>
      <c r="G42">
        <v>0</v>
      </c>
      <c r="H42">
        <v>1.4576089999999999</v>
      </c>
      <c r="I42">
        <v>0</v>
      </c>
      <c r="J42">
        <v>1.4576089999999999</v>
      </c>
    </row>
    <row r="43" spans="1:10" x14ac:dyDescent="0.25">
      <c r="A43" t="s">
        <v>2</v>
      </c>
      <c r="B43" t="s">
        <v>45</v>
      </c>
      <c r="C43" s="9">
        <v>1990</v>
      </c>
      <c r="D43">
        <v>0</v>
      </c>
      <c r="E43">
        <v>0</v>
      </c>
      <c r="F43">
        <v>0</v>
      </c>
      <c r="G43">
        <v>0</v>
      </c>
      <c r="H43">
        <v>3.8622010000000002</v>
      </c>
      <c r="I43">
        <v>0</v>
      </c>
      <c r="J43">
        <v>3.8622010000000002</v>
      </c>
    </row>
    <row r="44" spans="1:10" x14ac:dyDescent="0.25">
      <c r="A44" t="s">
        <v>2</v>
      </c>
      <c r="B44" t="s">
        <v>46</v>
      </c>
      <c r="C44" s="9">
        <v>1990</v>
      </c>
      <c r="D44">
        <v>0</v>
      </c>
      <c r="E44">
        <v>0</v>
      </c>
      <c r="F44">
        <v>0</v>
      </c>
      <c r="G44">
        <v>0</v>
      </c>
      <c r="H44">
        <v>0.32564100000000001</v>
      </c>
      <c r="I44">
        <v>0</v>
      </c>
      <c r="J44">
        <v>0.32564100000000001</v>
      </c>
    </row>
    <row r="45" spans="1:10" x14ac:dyDescent="0.25">
      <c r="A45" t="s">
        <v>2</v>
      </c>
      <c r="B45" t="s">
        <v>47</v>
      </c>
      <c r="C45" s="9">
        <v>1990</v>
      </c>
      <c r="D45">
        <v>0</v>
      </c>
      <c r="E45">
        <v>6.3907889999999998</v>
      </c>
      <c r="F45">
        <v>0</v>
      </c>
      <c r="G45">
        <v>33.681486999999997</v>
      </c>
      <c r="H45">
        <v>0</v>
      </c>
      <c r="I45">
        <v>0</v>
      </c>
      <c r="J45">
        <v>40.072276000000002</v>
      </c>
    </row>
    <row r="46" spans="1:10" x14ac:dyDescent="0.25">
      <c r="A46" t="s">
        <v>2</v>
      </c>
      <c r="B46" t="s">
        <v>48</v>
      </c>
      <c r="C46" s="9">
        <v>1990</v>
      </c>
      <c r="D46">
        <v>0</v>
      </c>
      <c r="E46">
        <v>0</v>
      </c>
      <c r="F46">
        <v>0</v>
      </c>
      <c r="G46">
        <v>2.8027099999999998</v>
      </c>
      <c r="H46">
        <v>0</v>
      </c>
      <c r="I46">
        <v>0</v>
      </c>
      <c r="J46">
        <v>2.8027099999999998</v>
      </c>
    </row>
    <row r="47" spans="1:10" x14ac:dyDescent="0.25">
      <c r="A47" t="s">
        <v>2</v>
      </c>
      <c r="B47" t="s">
        <v>49</v>
      </c>
      <c r="C47" s="9">
        <v>1990</v>
      </c>
      <c r="D47">
        <v>0</v>
      </c>
      <c r="E47">
        <v>0</v>
      </c>
      <c r="F47">
        <v>0</v>
      </c>
      <c r="G47">
        <v>7.6604429999999999</v>
      </c>
      <c r="H47">
        <v>0.213564</v>
      </c>
      <c r="I47">
        <v>0</v>
      </c>
      <c r="J47">
        <v>7.8740069999999998</v>
      </c>
    </row>
    <row r="48" spans="1:10" x14ac:dyDescent="0.25">
      <c r="A48" t="s">
        <v>3</v>
      </c>
      <c r="B48" t="s">
        <v>10</v>
      </c>
      <c r="C48" s="9">
        <v>1991</v>
      </c>
      <c r="D48">
        <v>0.56014399999999998</v>
      </c>
      <c r="E48">
        <v>8.1444580000000002</v>
      </c>
      <c r="F48">
        <v>8.7863999999999998E-2</v>
      </c>
      <c r="G48">
        <v>0.10460999999999999</v>
      </c>
      <c r="H48">
        <v>7.7468999999999996E-2</v>
      </c>
      <c r="I48">
        <v>2.5796589999999999</v>
      </c>
      <c r="J48">
        <v>11.554204</v>
      </c>
    </row>
    <row r="49" spans="1:10" x14ac:dyDescent="0.25">
      <c r="A49" t="s">
        <v>2</v>
      </c>
      <c r="B49" t="s">
        <v>11</v>
      </c>
      <c r="C49" s="9">
        <v>1991</v>
      </c>
      <c r="D49">
        <v>0</v>
      </c>
      <c r="E49">
        <v>0</v>
      </c>
      <c r="F49">
        <v>0</v>
      </c>
      <c r="G49">
        <v>0</v>
      </c>
      <c r="H49">
        <v>3.8364000000000002E-2</v>
      </c>
      <c r="I49">
        <v>0</v>
      </c>
      <c r="J49">
        <v>3.8364000000000002E-2</v>
      </c>
    </row>
    <row r="50" spans="1:10" x14ac:dyDescent="0.25">
      <c r="A50" t="s">
        <v>1</v>
      </c>
      <c r="B50" t="s">
        <v>12</v>
      </c>
      <c r="C50" s="9">
        <v>1991</v>
      </c>
      <c r="D50">
        <v>0</v>
      </c>
      <c r="E50">
        <v>0</v>
      </c>
      <c r="F50">
        <v>0</v>
      </c>
      <c r="G50">
        <v>0</v>
      </c>
      <c r="H50">
        <v>112.38833</v>
      </c>
      <c r="I50">
        <v>0</v>
      </c>
      <c r="J50">
        <v>112.38833</v>
      </c>
    </row>
    <row r="51" spans="1:10" x14ac:dyDescent="0.25">
      <c r="A51" t="s">
        <v>1</v>
      </c>
      <c r="B51" t="s">
        <v>15</v>
      </c>
      <c r="C51" s="9">
        <v>1991</v>
      </c>
      <c r="D51">
        <v>0</v>
      </c>
      <c r="E51">
        <v>0</v>
      </c>
      <c r="F51">
        <v>0</v>
      </c>
      <c r="G51">
        <v>201.271773</v>
      </c>
      <c r="H51">
        <v>231.46060399999999</v>
      </c>
      <c r="I51">
        <v>0</v>
      </c>
      <c r="J51">
        <v>432.73237699999999</v>
      </c>
    </row>
    <row r="52" spans="1:10" x14ac:dyDescent="0.25">
      <c r="A52" t="s">
        <v>4</v>
      </c>
      <c r="B52" t="s">
        <v>17</v>
      </c>
      <c r="C52" s="9">
        <v>1991</v>
      </c>
      <c r="D52">
        <v>0</v>
      </c>
      <c r="E52">
        <v>1.116582</v>
      </c>
      <c r="F52">
        <v>0</v>
      </c>
      <c r="G52">
        <v>0</v>
      </c>
      <c r="H52">
        <v>0</v>
      </c>
      <c r="I52">
        <v>1.086943</v>
      </c>
      <c r="J52">
        <v>2.203525</v>
      </c>
    </row>
    <row r="53" spans="1:10" x14ac:dyDescent="0.25">
      <c r="A53" t="s">
        <v>2</v>
      </c>
      <c r="B53" t="s">
        <v>18</v>
      </c>
      <c r="C53" s="9">
        <v>1991</v>
      </c>
      <c r="D53">
        <v>0</v>
      </c>
      <c r="E53">
        <v>0</v>
      </c>
      <c r="F53">
        <v>0</v>
      </c>
      <c r="G53">
        <v>0</v>
      </c>
      <c r="H53">
        <v>0.37638500000000003</v>
      </c>
      <c r="I53">
        <v>0</v>
      </c>
      <c r="J53">
        <v>0.37638500000000003</v>
      </c>
    </row>
    <row r="54" spans="1:10" x14ac:dyDescent="0.25">
      <c r="A54" t="s">
        <v>2</v>
      </c>
      <c r="B54" t="s">
        <v>19</v>
      </c>
      <c r="C54" s="9">
        <v>1991</v>
      </c>
      <c r="D54">
        <v>0</v>
      </c>
      <c r="E54">
        <v>0.36976599999999998</v>
      </c>
      <c r="F54">
        <v>0</v>
      </c>
      <c r="G54">
        <v>4.6271449999999996</v>
      </c>
      <c r="H54">
        <v>51.441777999999999</v>
      </c>
      <c r="I54">
        <v>0</v>
      </c>
      <c r="J54">
        <v>56.438688999999997</v>
      </c>
    </row>
    <row r="55" spans="1:10" x14ac:dyDescent="0.25">
      <c r="A55" t="s">
        <v>2</v>
      </c>
      <c r="B55" t="s">
        <v>23</v>
      </c>
      <c r="C55" s="9">
        <v>1991</v>
      </c>
      <c r="D55">
        <v>0</v>
      </c>
      <c r="E55">
        <v>0</v>
      </c>
      <c r="F55">
        <v>0</v>
      </c>
      <c r="G55">
        <v>0</v>
      </c>
      <c r="H55">
        <v>10.503844000000001</v>
      </c>
      <c r="I55">
        <v>0</v>
      </c>
      <c r="J55">
        <v>10.503844000000001</v>
      </c>
    </row>
    <row r="56" spans="1:10" x14ac:dyDescent="0.25">
      <c r="A56" t="s">
        <v>4</v>
      </c>
      <c r="B56" t="s">
        <v>26</v>
      </c>
      <c r="C56" s="9">
        <v>1991</v>
      </c>
      <c r="D56">
        <v>6.4938999999999997E-2</v>
      </c>
      <c r="E56">
        <v>22.110261000000001</v>
      </c>
      <c r="F56">
        <v>0.45685399999999998</v>
      </c>
      <c r="G56">
        <v>11.102831999999999</v>
      </c>
      <c r="H56">
        <v>1.4088540000000001</v>
      </c>
      <c r="I56">
        <v>56.014865999999998</v>
      </c>
      <c r="J56">
        <v>91.158606000000006</v>
      </c>
    </row>
    <row r="57" spans="1:10" x14ac:dyDescent="0.25">
      <c r="A57" t="s">
        <v>2</v>
      </c>
      <c r="B57" t="s">
        <v>50</v>
      </c>
      <c r="C57" s="9">
        <v>1991</v>
      </c>
      <c r="D57">
        <v>0</v>
      </c>
      <c r="E57">
        <v>0</v>
      </c>
      <c r="F57">
        <v>0</v>
      </c>
      <c r="G57">
        <v>0</v>
      </c>
      <c r="H57">
        <v>4.5819609999999997</v>
      </c>
      <c r="I57">
        <v>0</v>
      </c>
      <c r="J57">
        <v>4.5819609999999997</v>
      </c>
    </row>
    <row r="58" spans="1:10" x14ac:dyDescent="0.25">
      <c r="A58" t="s">
        <v>3</v>
      </c>
      <c r="B58" t="s">
        <v>34</v>
      </c>
      <c r="C58" s="9">
        <v>1991</v>
      </c>
      <c r="D58">
        <v>59.580292999999998</v>
      </c>
      <c r="E58">
        <v>739.700738</v>
      </c>
      <c r="F58">
        <v>48.008684000000002</v>
      </c>
      <c r="G58">
        <v>1512.418893</v>
      </c>
      <c r="H58">
        <v>77.874435000000005</v>
      </c>
      <c r="I58">
        <v>2152.320659</v>
      </c>
      <c r="J58">
        <v>4589.9037019999996</v>
      </c>
    </row>
    <row r="59" spans="1:10" x14ac:dyDescent="0.25">
      <c r="A59" t="s">
        <v>4</v>
      </c>
      <c r="B59" t="s">
        <v>35</v>
      </c>
      <c r="C59" s="9">
        <v>1991</v>
      </c>
      <c r="D59">
        <v>8.7100000000000003E-4</v>
      </c>
      <c r="E59">
        <v>15.414624999999999</v>
      </c>
      <c r="F59">
        <v>4.5199999999999997E-2</v>
      </c>
      <c r="G59">
        <v>4.5807219999999997</v>
      </c>
      <c r="H59">
        <v>4.3104999999999997E-2</v>
      </c>
      <c r="I59">
        <v>16.047946</v>
      </c>
      <c r="J59">
        <v>36.132469</v>
      </c>
    </row>
    <row r="60" spans="1:10" x14ac:dyDescent="0.25">
      <c r="A60" t="s">
        <v>2</v>
      </c>
      <c r="B60" t="s">
        <v>51</v>
      </c>
      <c r="C60" s="9">
        <v>1991</v>
      </c>
      <c r="D60">
        <v>0</v>
      </c>
      <c r="E60">
        <v>0</v>
      </c>
      <c r="F60">
        <v>0</v>
      </c>
      <c r="G60">
        <v>0</v>
      </c>
      <c r="H60">
        <v>0.44741599999999998</v>
      </c>
      <c r="I60">
        <v>0</v>
      </c>
      <c r="J60">
        <v>0.44741599999999998</v>
      </c>
    </row>
    <row r="61" spans="1:10" x14ac:dyDescent="0.25">
      <c r="A61" t="s">
        <v>2</v>
      </c>
      <c r="B61" t="s">
        <v>36</v>
      </c>
      <c r="C61" s="9">
        <v>1991</v>
      </c>
      <c r="D61">
        <v>0</v>
      </c>
      <c r="E61">
        <v>0</v>
      </c>
      <c r="F61">
        <v>0</v>
      </c>
      <c r="G61">
        <v>12.051366</v>
      </c>
      <c r="H61">
        <v>10.507877000000001</v>
      </c>
      <c r="I61">
        <v>0</v>
      </c>
      <c r="J61">
        <v>22.559242999999999</v>
      </c>
    </row>
    <row r="62" spans="1:10" x14ac:dyDescent="0.25">
      <c r="A62" t="s">
        <v>2</v>
      </c>
      <c r="B62" t="s">
        <v>37</v>
      </c>
      <c r="C62" s="9">
        <v>1991</v>
      </c>
      <c r="D62">
        <v>0</v>
      </c>
      <c r="E62">
        <v>0</v>
      </c>
      <c r="F62">
        <v>0</v>
      </c>
      <c r="G62">
        <v>0.27877999999999997</v>
      </c>
      <c r="H62">
        <v>0.33269199999999999</v>
      </c>
      <c r="I62">
        <v>0</v>
      </c>
      <c r="J62">
        <v>0.61147200000000002</v>
      </c>
    </row>
    <row r="63" spans="1:10" x14ac:dyDescent="0.25">
      <c r="A63" t="s">
        <v>3</v>
      </c>
      <c r="B63" t="s">
        <v>39</v>
      </c>
      <c r="C63" s="9">
        <v>1991</v>
      </c>
      <c r="D63">
        <v>5.508229</v>
      </c>
      <c r="E63">
        <v>108.585916</v>
      </c>
      <c r="F63">
        <v>17.540253</v>
      </c>
      <c r="G63">
        <v>32.895564</v>
      </c>
      <c r="H63">
        <v>6.2523200000000001</v>
      </c>
      <c r="I63">
        <v>335.28209500000003</v>
      </c>
      <c r="J63">
        <v>506.06437699999998</v>
      </c>
    </row>
    <row r="64" spans="1:10" x14ac:dyDescent="0.25">
      <c r="A64" t="s">
        <v>3</v>
      </c>
      <c r="B64" t="s">
        <v>41</v>
      </c>
      <c r="C64" s="9">
        <v>1991</v>
      </c>
      <c r="D64">
        <v>52.071269000000001</v>
      </c>
      <c r="E64">
        <v>745.34447999999998</v>
      </c>
      <c r="F64">
        <v>99.810441999999995</v>
      </c>
      <c r="G64">
        <v>1022.572779</v>
      </c>
      <c r="H64">
        <v>687.14943400000004</v>
      </c>
      <c r="I64">
        <v>2648.6256020000001</v>
      </c>
      <c r="J64">
        <v>5255.5740059999998</v>
      </c>
    </row>
    <row r="65" spans="1:10" x14ac:dyDescent="0.25">
      <c r="A65" t="s">
        <v>2</v>
      </c>
      <c r="B65" t="s">
        <v>42</v>
      </c>
      <c r="C65" s="9">
        <v>1991</v>
      </c>
      <c r="D65">
        <v>0</v>
      </c>
      <c r="E65">
        <v>0</v>
      </c>
      <c r="F65">
        <v>0</v>
      </c>
      <c r="G65">
        <v>0</v>
      </c>
      <c r="H65">
        <v>38.137416000000002</v>
      </c>
      <c r="I65">
        <v>0</v>
      </c>
      <c r="J65">
        <v>38.137416000000002</v>
      </c>
    </row>
    <row r="66" spans="1:10" x14ac:dyDescent="0.25">
      <c r="A66" t="s">
        <v>2</v>
      </c>
      <c r="B66" t="s">
        <v>45</v>
      </c>
      <c r="C66" s="9">
        <v>1991</v>
      </c>
      <c r="D66">
        <v>0</v>
      </c>
      <c r="E66">
        <v>0</v>
      </c>
      <c r="F66">
        <v>0</v>
      </c>
      <c r="G66">
        <v>0</v>
      </c>
      <c r="H66">
        <v>3.6444070000000002</v>
      </c>
      <c r="I66">
        <v>0</v>
      </c>
      <c r="J66">
        <v>3.6444070000000002</v>
      </c>
    </row>
    <row r="67" spans="1:10" x14ac:dyDescent="0.25">
      <c r="A67" t="s">
        <v>2</v>
      </c>
      <c r="B67" t="s">
        <v>47</v>
      </c>
      <c r="C67" s="9">
        <v>1991</v>
      </c>
      <c r="D67">
        <v>0</v>
      </c>
      <c r="E67">
        <v>9.8074320000000004</v>
      </c>
      <c r="F67">
        <v>0</v>
      </c>
      <c r="G67">
        <v>37.288935000000002</v>
      </c>
      <c r="H67">
        <v>0</v>
      </c>
      <c r="I67">
        <v>0</v>
      </c>
      <c r="J67">
        <v>47.096367000000001</v>
      </c>
    </row>
    <row r="68" spans="1:10" x14ac:dyDescent="0.25">
      <c r="A68" t="s">
        <v>2</v>
      </c>
      <c r="B68" t="s">
        <v>48</v>
      </c>
      <c r="C68" s="9">
        <v>1991</v>
      </c>
      <c r="D68">
        <v>0</v>
      </c>
      <c r="E68">
        <v>0</v>
      </c>
      <c r="F68">
        <v>0</v>
      </c>
      <c r="G68">
        <v>5.6664159999999999</v>
      </c>
      <c r="H68">
        <v>0</v>
      </c>
      <c r="I68">
        <v>0</v>
      </c>
      <c r="J68">
        <v>5.6664159999999999</v>
      </c>
    </row>
    <row r="69" spans="1:10" x14ac:dyDescent="0.25">
      <c r="A69" t="s">
        <v>2</v>
      </c>
      <c r="B69" t="s">
        <v>52</v>
      </c>
      <c r="C69" s="9">
        <v>1992</v>
      </c>
      <c r="D69">
        <v>0</v>
      </c>
      <c r="E69">
        <v>0</v>
      </c>
      <c r="F69">
        <v>0</v>
      </c>
      <c r="G69">
        <v>0</v>
      </c>
      <c r="H69">
        <v>0.27684999999999998</v>
      </c>
      <c r="I69">
        <v>0</v>
      </c>
      <c r="J69">
        <v>0.27684999999999998</v>
      </c>
    </row>
    <row r="70" spans="1:10" x14ac:dyDescent="0.25">
      <c r="A70" t="s">
        <v>3</v>
      </c>
      <c r="B70" t="s">
        <v>10</v>
      </c>
      <c r="C70" s="9">
        <v>1992</v>
      </c>
      <c r="D70">
        <v>0.27126800000000001</v>
      </c>
      <c r="E70">
        <v>4.3973509999999996</v>
      </c>
      <c r="F70">
        <v>8.3129999999999992E-3</v>
      </c>
      <c r="G70">
        <v>5.1262000000000002E-2</v>
      </c>
      <c r="H70">
        <v>6.3450000000000006E-2</v>
      </c>
      <c r="I70">
        <v>10.812174000000001</v>
      </c>
      <c r="J70">
        <v>15.603818</v>
      </c>
    </row>
    <row r="71" spans="1:10" x14ac:dyDescent="0.25">
      <c r="A71" t="s">
        <v>2</v>
      </c>
      <c r="B71" t="s">
        <v>11</v>
      </c>
      <c r="C71" s="9">
        <v>1992</v>
      </c>
      <c r="D71">
        <v>0</v>
      </c>
      <c r="E71">
        <v>0</v>
      </c>
      <c r="F71">
        <v>0</v>
      </c>
      <c r="G71">
        <v>0</v>
      </c>
      <c r="H71">
        <v>0.24257600000000001</v>
      </c>
      <c r="I71">
        <v>0</v>
      </c>
      <c r="J71">
        <v>0.24257600000000001</v>
      </c>
    </row>
    <row r="72" spans="1:10" x14ac:dyDescent="0.25">
      <c r="A72" t="s">
        <v>1</v>
      </c>
      <c r="B72" t="s">
        <v>12</v>
      </c>
      <c r="C72" s="9">
        <v>1992</v>
      </c>
      <c r="D72">
        <v>0</v>
      </c>
      <c r="E72">
        <v>0</v>
      </c>
      <c r="F72">
        <v>0</v>
      </c>
      <c r="G72">
        <v>0</v>
      </c>
      <c r="H72">
        <v>31.354571</v>
      </c>
      <c r="I72">
        <v>0</v>
      </c>
      <c r="J72">
        <v>31.354571</v>
      </c>
    </row>
    <row r="73" spans="1:10" x14ac:dyDescent="0.25">
      <c r="A73" t="s">
        <v>1</v>
      </c>
      <c r="B73" t="s">
        <v>15</v>
      </c>
      <c r="C73" s="9">
        <v>1992</v>
      </c>
      <c r="D73">
        <v>0</v>
      </c>
      <c r="E73">
        <v>0</v>
      </c>
      <c r="F73">
        <v>0</v>
      </c>
      <c r="G73">
        <v>178.32576599999999</v>
      </c>
      <c r="H73">
        <v>197.464437</v>
      </c>
      <c r="I73">
        <v>0</v>
      </c>
      <c r="J73">
        <v>375.79020300000002</v>
      </c>
    </row>
    <row r="74" spans="1:10" x14ac:dyDescent="0.25">
      <c r="A74" t="s">
        <v>4</v>
      </c>
      <c r="B74" t="s">
        <v>17</v>
      </c>
      <c r="C74" s="9">
        <v>1992</v>
      </c>
      <c r="D74">
        <v>0</v>
      </c>
      <c r="E74">
        <v>0.95103400000000005</v>
      </c>
      <c r="F74">
        <v>0</v>
      </c>
      <c r="G74">
        <v>0</v>
      </c>
      <c r="H74">
        <v>0</v>
      </c>
      <c r="I74">
        <v>1.320757</v>
      </c>
      <c r="J74">
        <v>2.2717909999999999</v>
      </c>
    </row>
    <row r="75" spans="1:10" x14ac:dyDescent="0.25">
      <c r="A75" t="s">
        <v>2</v>
      </c>
      <c r="B75" t="s">
        <v>18</v>
      </c>
      <c r="C75" s="9">
        <v>1992</v>
      </c>
      <c r="D75">
        <v>0</v>
      </c>
      <c r="E75">
        <v>0</v>
      </c>
      <c r="F75">
        <v>0</v>
      </c>
      <c r="G75">
        <v>0</v>
      </c>
      <c r="H75">
        <v>0.30026199999999997</v>
      </c>
      <c r="I75">
        <v>0</v>
      </c>
      <c r="J75">
        <v>0.30026199999999997</v>
      </c>
    </row>
    <row r="76" spans="1:10" x14ac:dyDescent="0.25">
      <c r="A76" t="s">
        <v>1</v>
      </c>
      <c r="B76" t="s">
        <v>53</v>
      </c>
      <c r="C76" s="9">
        <v>1992</v>
      </c>
      <c r="D76">
        <v>0</v>
      </c>
      <c r="E76">
        <v>0</v>
      </c>
      <c r="F76">
        <v>0</v>
      </c>
      <c r="G76">
        <v>0</v>
      </c>
      <c r="H76">
        <v>2.0452910000000002</v>
      </c>
      <c r="I76">
        <v>0</v>
      </c>
      <c r="J76">
        <v>2.0452910000000002</v>
      </c>
    </row>
    <row r="77" spans="1:10" x14ac:dyDescent="0.25">
      <c r="A77" t="s">
        <v>2</v>
      </c>
      <c r="B77" t="s">
        <v>23</v>
      </c>
      <c r="C77" s="9">
        <v>1992</v>
      </c>
      <c r="D77">
        <v>0</v>
      </c>
      <c r="E77">
        <v>0</v>
      </c>
      <c r="F77">
        <v>0</v>
      </c>
      <c r="G77">
        <v>0</v>
      </c>
      <c r="H77">
        <v>8.5104330000000008</v>
      </c>
      <c r="I77">
        <v>0</v>
      </c>
      <c r="J77">
        <v>8.5104330000000008</v>
      </c>
    </row>
    <row r="78" spans="1:10" x14ac:dyDescent="0.25">
      <c r="A78" t="s">
        <v>4</v>
      </c>
      <c r="B78" t="s">
        <v>26</v>
      </c>
      <c r="C78" s="9">
        <v>1992</v>
      </c>
      <c r="D78">
        <v>5.5031999999999998E-2</v>
      </c>
      <c r="E78">
        <v>14.666601</v>
      </c>
      <c r="F78">
        <v>0.13947999999999999</v>
      </c>
      <c r="G78">
        <v>8.5242690000000003</v>
      </c>
      <c r="H78">
        <v>0.50540700000000005</v>
      </c>
      <c r="I78">
        <v>52.121848999999997</v>
      </c>
      <c r="J78">
        <v>76.012637999999995</v>
      </c>
    </row>
    <row r="79" spans="1:10" x14ac:dyDescent="0.25">
      <c r="A79" t="s">
        <v>3</v>
      </c>
      <c r="B79" t="s">
        <v>34</v>
      </c>
      <c r="C79" s="9">
        <v>1992</v>
      </c>
      <c r="D79">
        <v>51.612793000000003</v>
      </c>
      <c r="E79">
        <v>672.08611099999996</v>
      </c>
      <c r="F79">
        <v>45.084344999999999</v>
      </c>
      <c r="G79">
        <v>1423.432442</v>
      </c>
      <c r="H79">
        <v>69.205557999999996</v>
      </c>
      <c r="I79">
        <v>1944.906763</v>
      </c>
      <c r="J79">
        <v>4206.3280119999999</v>
      </c>
    </row>
    <row r="80" spans="1:10" x14ac:dyDescent="0.25">
      <c r="A80" t="s">
        <v>4</v>
      </c>
      <c r="B80" t="s">
        <v>35</v>
      </c>
      <c r="C80" s="9">
        <v>1992</v>
      </c>
      <c r="D80">
        <v>7.7899999999999996E-4</v>
      </c>
      <c r="E80">
        <v>13.639143000000001</v>
      </c>
      <c r="F80">
        <v>3.3812000000000002E-2</v>
      </c>
      <c r="G80">
        <v>4.406199</v>
      </c>
      <c r="H80">
        <v>3.8296999999999998E-2</v>
      </c>
      <c r="I80">
        <v>14.879867000000001</v>
      </c>
      <c r="J80">
        <v>32.998097000000001</v>
      </c>
    </row>
    <row r="81" spans="1:10" x14ac:dyDescent="0.25">
      <c r="A81" t="s">
        <v>2</v>
      </c>
      <c r="B81" t="s">
        <v>54</v>
      </c>
      <c r="C81" s="9">
        <v>1992</v>
      </c>
      <c r="D81">
        <v>0</v>
      </c>
      <c r="E81">
        <v>0</v>
      </c>
      <c r="F81">
        <v>0</v>
      </c>
      <c r="G81">
        <v>0</v>
      </c>
      <c r="H81">
        <v>0.226322</v>
      </c>
      <c r="I81">
        <v>0</v>
      </c>
      <c r="J81">
        <v>0.226322</v>
      </c>
    </row>
    <row r="82" spans="1:10" x14ac:dyDescent="0.25">
      <c r="A82" t="s">
        <v>2</v>
      </c>
      <c r="B82" t="s">
        <v>51</v>
      </c>
      <c r="C82" s="9">
        <v>1992</v>
      </c>
      <c r="D82">
        <v>0</v>
      </c>
      <c r="E82">
        <v>0</v>
      </c>
      <c r="F82">
        <v>0</v>
      </c>
      <c r="G82">
        <v>0</v>
      </c>
      <c r="H82">
        <v>0.45132899999999998</v>
      </c>
      <c r="I82">
        <v>0</v>
      </c>
      <c r="J82">
        <v>0.45132899999999998</v>
      </c>
    </row>
    <row r="83" spans="1:10" x14ac:dyDescent="0.25">
      <c r="A83" t="s">
        <v>3</v>
      </c>
      <c r="B83" t="s">
        <v>39</v>
      </c>
      <c r="C83" s="9">
        <v>1992</v>
      </c>
      <c r="D83">
        <v>7.1525259999999999</v>
      </c>
      <c r="E83">
        <v>120.222353</v>
      </c>
      <c r="F83">
        <v>16.089960999999999</v>
      </c>
      <c r="G83">
        <v>37.402030000000003</v>
      </c>
      <c r="H83">
        <v>5.3482719999999997</v>
      </c>
      <c r="I83">
        <v>313.66293100000001</v>
      </c>
      <c r="J83">
        <v>499.87807299999997</v>
      </c>
    </row>
    <row r="84" spans="1:10" x14ac:dyDescent="0.25">
      <c r="A84" t="s">
        <v>3</v>
      </c>
      <c r="B84" t="s">
        <v>41</v>
      </c>
      <c r="C84" s="9">
        <v>1992</v>
      </c>
      <c r="D84">
        <v>51.518180999999998</v>
      </c>
      <c r="E84">
        <v>724.43559600000003</v>
      </c>
      <c r="F84">
        <v>67.804311999999996</v>
      </c>
      <c r="G84">
        <v>951.67853700000001</v>
      </c>
      <c r="H84">
        <v>761.909986</v>
      </c>
      <c r="I84">
        <v>2588.3147429999999</v>
      </c>
      <c r="J84">
        <v>5145.6613550000002</v>
      </c>
    </row>
    <row r="85" spans="1:10" x14ac:dyDescent="0.25">
      <c r="A85" t="s">
        <v>2</v>
      </c>
      <c r="B85" t="s">
        <v>42</v>
      </c>
      <c r="C85" s="9">
        <v>1992</v>
      </c>
      <c r="D85">
        <v>0</v>
      </c>
      <c r="E85">
        <v>0</v>
      </c>
      <c r="F85">
        <v>0</v>
      </c>
      <c r="G85">
        <v>0</v>
      </c>
      <c r="H85">
        <v>28.476284</v>
      </c>
      <c r="I85">
        <v>0</v>
      </c>
      <c r="J85">
        <v>28.476284</v>
      </c>
    </row>
    <row r="86" spans="1:10" x14ac:dyDescent="0.25">
      <c r="A86" t="s">
        <v>2</v>
      </c>
      <c r="B86" t="s">
        <v>45</v>
      </c>
      <c r="C86" s="9">
        <v>1992</v>
      </c>
      <c r="D86">
        <v>0</v>
      </c>
      <c r="E86">
        <v>0</v>
      </c>
      <c r="F86">
        <v>0</v>
      </c>
      <c r="G86">
        <v>0</v>
      </c>
      <c r="H86">
        <v>3.0091600000000001</v>
      </c>
      <c r="I86">
        <v>0</v>
      </c>
      <c r="J86">
        <v>3.0091600000000001</v>
      </c>
    </row>
    <row r="87" spans="1:10" x14ac:dyDescent="0.25">
      <c r="A87" t="s">
        <v>2</v>
      </c>
      <c r="B87" t="s">
        <v>47</v>
      </c>
      <c r="C87" s="9">
        <v>1992</v>
      </c>
      <c r="D87">
        <v>0</v>
      </c>
      <c r="E87">
        <v>7.9797560000000001</v>
      </c>
      <c r="F87">
        <v>0</v>
      </c>
      <c r="G87">
        <v>26.625129000000001</v>
      </c>
      <c r="H87">
        <v>0</v>
      </c>
      <c r="I87">
        <v>0</v>
      </c>
      <c r="J87">
        <v>34.604885000000003</v>
      </c>
    </row>
    <row r="88" spans="1:10" x14ac:dyDescent="0.25">
      <c r="A88" t="s">
        <v>2</v>
      </c>
      <c r="B88" t="s">
        <v>48</v>
      </c>
      <c r="C88" s="9">
        <v>1992</v>
      </c>
      <c r="D88">
        <v>0</v>
      </c>
      <c r="E88">
        <v>0</v>
      </c>
      <c r="F88">
        <v>0</v>
      </c>
      <c r="G88">
        <v>3.900366</v>
      </c>
      <c r="H88">
        <v>0</v>
      </c>
      <c r="I88">
        <v>0</v>
      </c>
      <c r="J88">
        <v>3.900366</v>
      </c>
    </row>
    <row r="89" spans="1:10" x14ac:dyDescent="0.25">
      <c r="A89" t="s">
        <v>2</v>
      </c>
      <c r="B89" t="s">
        <v>52</v>
      </c>
      <c r="C89" s="9">
        <v>1993</v>
      </c>
      <c r="D89">
        <v>0</v>
      </c>
      <c r="E89">
        <v>0</v>
      </c>
      <c r="F89">
        <v>0</v>
      </c>
      <c r="G89">
        <v>0</v>
      </c>
      <c r="H89">
        <v>0.26873200000000003</v>
      </c>
      <c r="I89">
        <v>0</v>
      </c>
      <c r="J89">
        <v>0.26873200000000003</v>
      </c>
    </row>
    <row r="90" spans="1:10" x14ac:dyDescent="0.25">
      <c r="A90" t="s">
        <v>3</v>
      </c>
      <c r="B90" t="s">
        <v>10</v>
      </c>
      <c r="C90" s="9">
        <v>1993</v>
      </c>
      <c r="D90">
        <v>0.21367800000000001</v>
      </c>
      <c r="E90">
        <v>4.2994820000000002</v>
      </c>
      <c r="F90">
        <v>8.6840000000000007E-3</v>
      </c>
      <c r="G90">
        <v>6.9260000000000002E-2</v>
      </c>
      <c r="H90">
        <v>9.0162000000000006E-2</v>
      </c>
      <c r="I90">
        <v>12.818661000000001</v>
      </c>
      <c r="J90">
        <v>17.499927</v>
      </c>
    </row>
    <row r="91" spans="1:10" x14ac:dyDescent="0.25">
      <c r="A91" t="s">
        <v>2</v>
      </c>
      <c r="B91" t="s">
        <v>11</v>
      </c>
      <c r="C91" s="9">
        <v>1993</v>
      </c>
      <c r="D91">
        <v>0</v>
      </c>
      <c r="E91">
        <v>0</v>
      </c>
      <c r="F91">
        <v>0</v>
      </c>
      <c r="G91">
        <v>0</v>
      </c>
      <c r="H91">
        <v>0.79735299999999998</v>
      </c>
      <c r="I91">
        <v>0</v>
      </c>
      <c r="J91">
        <v>0.79735299999999998</v>
      </c>
    </row>
    <row r="92" spans="1:10" x14ac:dyDescent="0.25">
      <c r="A92" t="s">
        <v>1</v>
      </c>
      <c r="B92" t="s">
        <v>15</v>
      </c>
      <c r="C92" s="9">
        <v>1993</v>
      </c>
      <c r="D92">
        <v>0</v>
      </c>
      <c r="E92">
        <v>0</v>
      </c>
      <c r="F92">
        <v>0</v>
      </c>
      <c r="G92">
        <v>119.2627</v>
      </c>
      <c r="H92">
        <v>182.56690800000001</v>
      </c>
      <c r="I92">
        <v>0</v>
      </c>
      <c r="J92">
        <v>301.82960800000001</v>
      </c>
    </row>
    <row r="93" spans="1:10" x14ac:dyDescent="0.25">
      <c r="A93" t="s">
        <v>4</v>
      </c>
      <c r="B93" t="s">
        <v>17</v>
      </c>
      <c r="C93" s="9">
        <v>1993</v>
      </c>
      <c r="D93">
        <v>0</v>
      </c>
      <c r="E93">
        <v>1.323115</v>
      </c>
      <c r="F93">
        <v>0</v>
      </c>
      <c r="G93">
        <v>0</v>
      </c>
      <c r="H93">
        <v>0</v>
      </c>
      <c r="I93">
        <v>0.97036500000000003</v>
      </c>
      <c r="J93">
        <v>2.2934800000000002</v>
      </c>
    </row>
    <row r="94" spans="1:10" x14ac:dyDescent="0.25">
      <c r="A94" t="s">
        <v>2</v>
      </c>
      <c r="B94" t="s">
        <v>18</v>
      </c>
      <c r="C94" s="9">
        <v>1993</v>
      </c>
      <c r="D94">
        <v>0</v>
      </c>
      <c r="E94">
        <v>0</v>
      </c>
      <c r="F94">
        <v>0</v>
      </c>
      <c r="G94">
        <v>0</v>
      </c>
      <c r="H94">
        <v>0.23421400000000001</v>
      </c>
      <c r="I94">
        <v>0</v>
      </c>
      <c r="J94">
        <v>0.23421400000000001</v>
      </c>
    </row>
    <row r="95" spans="1:10" x14ac:dyDescent="0.25">
      <c r="A95" t="s">
        <v>1</v>
      </c>
      <c r="B95" t="s">
        <v>53</v>
      </c>
      <c r="C95" s="9">
        <v>1993</v>
      </c>
      <c r="D95">
        <v>0</v>
      </c>
      <c r="E95">
        <v>0</v>
      </c>
      <c r="F95">
        <v>0</v>
      </c>
      <c r="G95">
        <v>0</v>
      </c>
      <c r="H95">
        <v>1.222248</v>
      </c>
      <c r="I95">
        <v>0</v>
      </c>
      <c r="J95">
        <v>1.222248</v>
      </c>
    </row>
    <row r="96" spans="1:10" x14ac:dyDescent="0.25">
      <c r="A96" t="s">
        <v>2</v>
      </c>
      <c r="B96" t="s">
        <v>23</v>
      </c>
      <c r="C96" s="9">
        <v>1993</v>
      </c>
      <c r="D96">
        <v>0</v>
      </c>
      <c r="E96">
        <v>0</v>
      </c>
      <c r="F96">
        <v>0</v>
      </c>
      <c r="G96">
        <v>0</v>
      </c>
      <c r="H96">
        <v>7.3165339999999999</v>
      </c>
      <c r="I96">
        <v>0</v>
      </c>
      <c r="J96">
        <v>7.3165339999999999</v>
      </c>
    </row>
    <row r="97" spans="1:10" x14ac:dyDescent="0.25">
      <c r="A97" t="s">
        <v>4</v>
      </c>
      <c r="B97" t="s">
        <v>26</v>
      </c>
      <c r="C97" s="9">
        <v>1993</v>
      </c>
      <c r="D97">
        <v>8.2375000000000004E-2</v>
      </c>
      <c r="E97">
        <v>22.713349000000001</v>
      </c>
      <c r="F97">
        <v>0.17200099999999999</v>
      </c>
      <c r="G97">
        <v>11.919072999999999</v>
      </c>
      <c r="H97">
        <v>3.0054219999999998</v>
      </c>
      <c r="I97">
        <v>51.795760999999999</v>
      </c>
      <c r="J97">
        <v>89.687980999999994</v>
      </c>
    </row>
    <row r="98" spans="1:10" x14ac:dyDescent="0.25">
      <c r="A98" t="s">
        <v>3</v>
      </c>
      <c r="B98" t="s">
        <v>34</v>
      </c>
      <c r="C98" s="9">
        <v>1993</v>
      </c>
      <c r="D98">
        <v>59.209961</v>
      </c>
      <c r="E98">
        <v>700.43319899999995</v>
      </c>
      <c r="F98">
        <v>45.895071000000002</v>
      </c>
      <c r="G98">
        <v>1485.8626979999999</v>
      </c>
      <c r="H98">
        <v>72.923337000000004</v>
      </c>
      <c r="I98">
        <v>2107.687277</v>
      </c>
      <c r="J98">
        <v>4472.0115429999996</v>
      </c>
    </row>
    <row r="99" spans="1:10" x14ac:dyDescent="0.25">
      <c r="A99" t="s">
        <v>4</v>
      </c>
      <c r="B99" t="s">
        <v>35</v>
      </c>
      <c r="C99" s="9">
        <v>1993</v>
      </c>
      <c r="D99">
        <v>5.4199999999999995E-4</v>
      </c>
      <c r="E99">
        <v>14.882192999999999</v>
      </c>
      <c r="F99">
        <v>6.4404000000000003E-2</v>
      </c>
      <c r="G99">
        <v>4.6268089999999997</v>
      </c>
      <c r="H99">
        <v>3.6513999999999998E-2</v>
      </c>
      <c r="I99">
        <v>15.464797000000001</v>
      </c>
      <c r="J99">
        <v>35.075259000000003</v>
      </c>
    </row>
    <row r="100" spans="1:10" x14ac:dyDescent="0.25">
      <c r="A100" t="s">
        <v>2</v>
      </c>
      <c r="B100" t="s">
        <v>54</v>
      </c>
      <c r="C100" s="9">
        <v>1993</v>
      </c>
      <c r="D100">
        <v>0</v>
      </c>
      <c r="E100">
        <v>0</v>
      </c>
      <c r="F100">
        <v>0</v>
      </c>
      <c r="G100">
        <v>0</v>
      </c>
      <c r="H100">
        <v>1.3115490000000001</v>
      </c>
      <c r="I100">
        <v>0</v>
      </c>
      <c r="J100">
        <v>1.3115490000000001</v>
      </c>
    </row>
    <row r="101" spans="1:10" x14ac:dyDescent="0.25">
      <c r="A101" t="s">
        <v>2</v>
      </c>
      <c r="B101" t="s">
        <v>51</v>
      </c>
      <c r="C101" s="9">
        <v>1993</v>
      </c>
      <c r="D101">
        <v>0</v>
      </c>
      <c r="E101">
        <v>0</v>
      </c>
      <c r="F101">
        <v>0</v>
      </c>
      <c r="G101">
        <v>0</v>
      </c>
      <c r="H101">
        <v>0.23666400000000001</v>
      </c>
      <c r="I101">
        <v>0</v>
      </c>
      <c r="J101">
        <v>0.23666400000000001</v>
      </c>
    </row>
    <row r="102" spans="1:10" x14ac:dyDescent="0.25">
      <c r="A102" t="s">
        <v>3</v>
      </c>
      <c r="B102" t="s">
        <v>39</v>
      </c>
      <c r="C102" s="9">
        <v>1993</v>
      </c>
      <c r="D102">
        <v>8.3182770000000001</v>
      </c>
      <c r="E102">
        <v>109.24943500000001</v>
      </c>
      <c r="F102">
        <v>18.627407999999999</v>
      </c>
      <c r="G102">
        <v>32.881846000000003</v>
      </c>
      <c r="H102">
        <v>3.6648100000000001</v>
      </c>
      <c r="I102">
        <v>327.05325199999999</v>
      </c>
      <c r="J102">
        <v>499.795028</v>
      </c>
    </row>
    <row r="103" spans="1:10" x14ac:dyDescent="0.25">
      <c r="A103" t="s">
        <v>3</v>
      </c>
      <c r="B103" t="s">
        <v>41</v>
      </c>
      <c r="C103" s="9">
        <v>1993</v>
      </c>
      <c r="D103">
        <v>47.796039</v>
      </c>
      <c r="E103">
        <v>740.81054500000005</v>
      </c>
      <c r="F103">
        <v>56.299388</v>
      </c>
      <c r="G103">
        <v>1004.075301</v>
      </c>
      <c r="H103">
        <v>503.05881499999998</v>
      </c>
      <c r="I103">
        <v>2565.1872290000001</v>
      </c>
      <c r="J103">
        <v>4917.2273169999999</v>
      </c>
    </row>
    <row r="104" spans="1:10" x14ac:dyDescent="0.25">
      <c r="A104" t="s">
        <v>2</v>
      </c>
      <c r="B104" t="s">
        <v>42</v>
      </c>
      <c r="C104" s="9">
        <v>1993</v>
      </c>
      <c r="D104">
        <v>0</v>
      </c>
      <c r="E104">
        <v>0</v>
      </c>
      <c r="F104">
        <v>0</v>
      </c>
      <c r="G104">
        <v>0</v>
      </c>
      <c r="H104">
        <v>25.471093</v>
      </c>
      <c r="I104">
        <v>0</v>
      </c>
      <c r="J104">
        <v>25.471093</v>
      </c>
    </row>
    <row r="105" spans="1:10" x14ac:dyDescent="0.25">
      <c r="A105" t="s">
        <v>2</v>
      </c>
      <c r="B105" t="s">
        <v>45</v>
      </c>
      <c r="C105" s="9">
        <v>1993</v>
      </c>
      <c r="D105">
        <v>0</v>
      </c>
      <c r="E105">
        <v>0</v>
      </c>
      <c r="F105">
        <v>0</v>
      </c>
      <c r="G105">
        <v>0</v>
      </c>
      <c r="H105">
        <v>3.1169920000000002</v>
      </c>
      <c r="I105">
        <v>0</v>
      </c>
      <c r="J105">
        <v>3.1169920000000002</v>
      </c>
    </row>
    <row r="106" spans="1:10" x14ac:dyDescent="0.25">
      <c r="A106" t="s">
        <v>2</v>
      </c>
      <c r="B106" t="s">
        <v>47</v>
      </c>
      <c r="C106" s="9">
        <v>1993</v>
      </c>
      <c r="D106">
        <v>0</v>
      </c>
      <c r="E106">
        <v>0</v>
      </c>
      <c r="F106">
        <v>0</v>
      </c>
      <c r="G106">
        <v>0</v>
      </c>
      <c r="H106">
        <v>15.722182</v>
      </c>
      <c r="I106">
        <v>0</v>
      </c>
      <c r="J106">
        <v>15.722182</v>
      </c>
    </row>
    <row r="107" spans="1:10" x14ac:dyDescent="0.25">
      <c r="A107" t="s">
        <v>2</v>
      </c>
      <c r="B107" t="s">
        <v>48</v>
      </c>
      <c r="C107" s="9">
        <v>1993</v>
      </c>
      <c r="D107">
        <v>0</v>
      </c>
      <c r="E107">
        <v>0</v>
      </c>
      <c r="F107">
        <v>0</v>
      </c>
      <c r="G107">
        <v>4.1409000000000002</v>
      </c>
      <c r="H107">
        <v>0</v>
      </c>
      <c r="I107">
        <v>0</v>
      </c>
      <c r="J107">
        <v>4.1409000000000002</v>
      </c>
    </row>
    <row r="108" spans="1:10" x14ac:dyDescent="0.25">
      <c r="A108" t="s">
        <v>2</v>
      </c>
      <c r="B108" t="s">
        <v>55</v>
      </c>
      <c r="C108" s="9">
        <v>1993</v>
      </c>
      <c r="D108">
        <v>0</v>
      </c>
      <c r="E108">
        <v>0</v>
      </c>
      <c r="F108">
        <v>0</v>
      </c>
      <c r="G108">
        <v>0</v>
      </c>
      <c r="H108">
        <v>5.7309330000000003</v>
      </c>
      <c r="I108">
        <v>0</v>
      </c>
      <c r="J108">
        <v>5.7309330000000003</v>
      </c>
    </row>
    <row r="109" spans="1:10" x14ac:dyDescent="0.25">
      <c r="A109" t="s">
        <v>2</v>
      </c>
      <c r="B109" t="s">
        <v>52</v>
      </c>
      <c r="C109" s="9">
        <v>1994</v>
      </c>
      <c r="D109">
        <v>0</v>
      </c>
      <c r="E109">
        <v>0</v>
      </c>
      <c r="F109">
        <v>0</v>
      </c>
      <c r="G109">
        <v>0</v>
      </c>
      <c r="H109">
        <v>0.14294100000000001</v>
      </c>
      <c r="I109">
        <v>0</v>
      </c>
      <c r="J109">
        <v>0.14294100000000001</v>
      </c>
    </row>
    <row r="110" spans="1:10" x14ac:dyDescent="0.25">
      <c r="A110" t="s">
        <v>3</v>
      </c>
      <c r="B110" t="s">
        <v>10</v>
      </c>
      <c r="C110" s="9">
        <v>1994</v>
      </c>
      <c r="D110">
        <v>0.19422700000000001</v>
      </c>
      <c r="E110">
        <v>6.206893</v>
      </c>
      <c r="F110">
        <v>7.1320000000000003E-3</v>
      </c>
      <c r="G110">
        <v>3.619E-2</v>
      </c>
      <c r="H110">
        <v>9.5603999999999995E-2</v>
      </c>
      <c r="I110">
        <v>12.174947</v>
      </c>
      <c r="J110">
        <v>18.714993</v>
      </c>
    </row>
    <row r="111" spans="1:10" x14ac:dyDescent="0.25">
      <c r="A111" t="s">
        <v>2</v>
      </c>
      <c r="B111" t="s">
        <v>11</v>
      </c>
      <c r="C111" s="9">
        <v>1994</v>
      </c>
      <c r="D111">
        <v>0</v>
      </c>
      <c r="E111">
        <v>0</v>
      </c>
      <c r="F111">
        <v>0</v>
      </c>
      <c r="G111">
        <v>0</v>
      </c>
      <c r="H111">
        <v>4.8584560000000003</v>
      </c>
      <c r="I111">
        <v>0</v>
      </c>
      <c r="J111">
        <v>4.8584560000000003</v>
      </c>
    </row>
    <row r="112" spans="1:10" x14ac:dyDescent="0.25">
      <c r="A112" t="s">
        <v>1</v>
      </c>
      <c r="B112" t="s">
        <v>12</v>
      </c>
      <c r="C112" s="9">
        <v>1994</v>
      </c>
      <c r="D112">
        <v>0</v>
      </c>
      <c r="E112">
        <v>0</v>
      </c>
      <c r="F112">
        <v>0</v>
      </c>
      <c r="G112">
        <v>0</v>
      </c>
      <c r="H112">
        <v>34.203344999999999</v>
      </c>
      <c r="I112">
        <v>0</v>
      </c>
      <c r="J112">
        <v>34.203344999999999</v>
      </c>
    </row>
    <row r="113" spans="1:10" x14ac:dyDescent="0.25">
      <c r="A113" t="s">
        <v>1</v>
      </c>
      <c r="B113" t="s">
        <v>15</v>
      </c>
      <c r="C113" s="9">
        <v>1994</v>
      </c>
      <c r="D113">
        <v>0</v>
      </c>
      <c r="E113">
        <v>0</v>
      </c>
      <c r="F113">
        <v>0</v>
      </c>
      <c r="G113">
        <v>124.820999</v>
      </c>
      <c r="H113">
        <v>98.179047999999995</v>
      </c>
      <c r="I113">
        <v>0</v>
      </c>
      <c r="J113">
        <v>223.000047</v>
      </c>
    </row>
    <row r="114" spans="1:10" x14ac:dyDescent="0.25">
      <c r="A114" t="s">
        <v>4</v>
      </c>
      <c r="B114" t="s">
        <v>17</v>
      </c>
      <c r="C114" s="9">
        <v>1994</v>
      </c>
      <c r="D114">
        <v>0</v>
      </c>
      <c r="E114">
        <v>3.7896890000000001</v>
      </c>
      <c r="F114">
        <v>0</v>
      </c>
      <c r="G114">
        <v>0</v>
      </c>
      <c r="H114">
        <v>0</v>
      </c>
      <c r="I114">
        <v>1.345046</v>
      </c>
      <c r="J114">
        <v>5.134735</v>
      </c>
    </row>
    <row r="115" spans="1:10" x14ac:dyDescent="0.25">
      <c r="A115" t="s">
        <v>2</v>
      </c>
      <c r="B115" t="s">
        <v>18</v>
      </c>
      <c r="C115" s="9">
        <v>1994</v>
      </c>
      <c r="D115">
        <v>0</v>
      </c>
      <c r="E115">
        <v>0</v>
      </c>
      <c r="F115">
        <v>0</v>
      </c>
      <c r="G115">
        <v>0</v>
      </c>
      <c r="H115">
        <v>0.26584000000000002</v>
      </c>
      <c r="I115">
        <v>0</v>
      </c>
      <c r="J115">
        <v>0.26584000000000002</v>
      </c>
    </row>
    <row r="116" spans="1:10" x14ac:dyDescent="0.25">
      <c r="A116" t="s">
        <v>2</v>
      </c>
      <c r="B116" t="s">
        <v>56</v>
      </c>
      <c r="C116" s="9">
        <v>1994</v>
      </c>
      <c r="D116">
        <v>0</v>
      </c>
      <c r="E116">
        <v>0</v>
      </c>
      <c r="F116">
        <v>0</v>
      </c>
      <c r="G116">
        <v>0</v>
      </c>
      <c r="H116">
        <v>2.0428999999999999E-2</v>
      </c>
      <c r="I116">
        <v>0</v>
      </c>
      <c r="J116">
        <v>2.0428999999999999E-2</v>
      </c>
    </row>
    <row r="117" spans="1:10" x14ac:dyDescent="0.25">
      <c r="A117" t="s">
        <v>1</v>
      </c>
      <c r="B117" t="s">
        <v>53</v>
      </c>
      <c r="C117" s="9">
        <v>1994</v>
      </c>
      <c r="D117">
        <v>0</v>
      </c>
      <c r="E117">
        <v>0</v>
      </c>
      <c r="F117">
        <v>0</v>
      </c>
      <c r="G117">
        <v>0</v>
      </c>
      <c r="H117">
        <v>2.3026930000000001</v>
      </c>
      <c r="I117">
        <v>0</v>
      </c>
      <c r="J117">
        <v>2.3026930000000001</v>
      </c>
    </row>
    <row r="118" spans="1:10" x14ac:dyDescent="0.25">
      <c r="A118" t="s">
        <v>2</v>
      </c>
      <c r="B118" t="s">
        <v>23</v>
      </c>
      <c r="C118" s="9">
        <v>1994</v>
      </c>
      <c r="D118">
        <v>0</v>
      </c>
      <c r="E118">
        <v>0</v>
      </c>
      <c r="F118">
        <v>0</v>
      </c>
      <c r="G118">
        <v>0</v>
      </c>
      <c r="H118">
        <v>6.7780009999999997</v>
      </c>
      <c r="I118">
        <v>0</v>
      </c>
      <c r="J118">
        <v>6.7780009999999997</v>
      </c>
    </row>
    <row r="119" spans="1:10" x14ac:dyDescent="0.25">
      <c r="A119" t="s">
        <v>4</v>
      </c>
      <c r="B119" t="s">
        <v>26</v>
      </c>
      <c r="C119" s="9">
        <v>1994</v>
      </c>
      <c r="D119">
        <v>9.9287E-2</v>
      </c>
      <c r="E119">
        <v>25.191569999999999</v>
      </c>
      <c r="F119">
        <v>0.124892</v>
      </c>
      <c r="G119">
        <v>14.161077000000001</v>
      </c>
      <c r="H119">
        <v>1.9426270000000001</v>
      </c>
      <c r="I119">
        <v>54.796185999999999</v>
      </c>
      <c r="J119">
        <v>96.315639000000004</v>
      </c>
    </row>
    <row r="120" spans="1:10" x14ac:dyDescent="0.25">
      <c r="A120" t="s">
        <v>3</v>
      </c>
      <c r="B120" t="s">
        <v>34</v>
      </c>
      <c r="C120" s="9">
        <v>1994</v>
      </c>
      <c r="D120">
        <v>54.475121999999999</v>
      </c>
      <c r="E120">
        <v>767.32484299999999</v>
      </c>
      <c r="F120">
        <v>45.474400000000003</v>
      </c>
      <c r="G120">
        <v>1509.9429279999999</v>
      </c>
      <c r="H120">
        <v>62.881276999999997</v>
      </c>
      <c r="I120">
        <v>2154.249894</v>
      </c>
      <c r="J120">
        <v>4594.3484639999997</v>
      </c>
    </row>
    <row r="121" spans="1:10" x14ac:dyDescent="0.25">
      <c r="A121" t="s">
        <v>4</v>
      </c>
      <c r="B121" t="s">
        <v>35</v>
      </c>
      <c r="C121" s="9">
        <v>1994</v>
      </c>
      <c r="D121">
        <v>6.8900000000000005E-4</v>
      </c>
      <c r="E121">
        <v>16.207564999999999</v>
      </c>
      <c r="F121">
        <v>6.8194000000000005E-2</v>
      </c>
      <c r="G121">
        <v>4.5963510000000003</v>
      </c>
      <c r="H121">
        <v>3.6289000000000002E-2</v>
      </c>
      <c r="I121">
        <v>17.021424</v>
      </c>
      <c r="J121">
        <v>37.930512</v>
      </c>
    </row>
    <row r="122" spans="1:10" x14ac:dyDescent="0.25">
      <c r="A122" t="s">
        <v>2</v>
      </c>
      <c r="B122" t="s">
        <v>54</v>
      </c>
      <c r="C122" s="9">
        <v>1994</v>
      </c>
      <c r="D122">
        <v>0</v>
      </c>
      <c r="E122">
        <v>0</v>
      </c>
      <c r="F122">
        <v>0</v>
      </c>
      <c r="G122">
        <v>0</v>
      </c>
      <c r="H122">
        <v>1.184809</v>
      </c>
      <c r="I122">
        <v>0</v>
      </c>
      <c r="J122">
        <v>1.184809</v>
      </c>
    </row>
    <row r="123" spans="1:10" x14ac:dyDescent="0.25">
      <c r="A123" t="s">
        <v>3</v>
      </c>
      <c r="B123" t="s">
        <v>39</v>
      </c>
      <c r="C123" s="9">
        <v>1994</v>
      </c>
      <c r="D123">
        <v>6.1489349999999998</v>
      </c>
      <c r="E123">
        <v>129.57669899999999</v>
      </c>
      <c r="F123">
        <v>19.990824</v>
      </c>
      <c r="G123">
        <v>36.180987000000002</v>
      </c>
      <c r="H123">
        <v>3.6461139999999999</v>
      </c>
      <c r="I123">
        <v>343.816395</v>
      </c>
      <c r="J123">
        <v>539.35995400000002</v>
      </c>
    </row>
    <row r="124" spans="1:10" x14ac:dyDescent="0.25">
      <c r="A124" t="s">
        <v>3</v>
      </c>
      <c r="B124" t="s">
        <v>41</v>
      </c>
      <c r="C124" s="9">
        <v>1994</v>
      </c>
      <c r="D124">
        <v>56.357881999999996</v>
      </c>
      <c r="E124">
        <v>734.59005200000001</v>
      </c>
      <c r="F124">
        <v>55.197733999999997</v>
      </c>
      <c r="G124">
        <v>1071.316558</v>
      </c>
      <c r="H124">
        <v>403.01429999999999</v>
      </c>
      <c r="I124">
        <v>2611.052146</v>
      </c>
      <c r="J124">
        <v>4931.5286720000004</v>
      </c>
    </row>
    <row r="125" spans="1:10" x14ac:dyDescent="0.25">
      <c r="A125" t="s">
        <v>2</v>
      </c>
      <c r="B125" t="s">
        <v>42</v>
      </c>
      <c r="C125" s="9">
        <v>1994</v>
      </c>
      <c r="D125">
        <v>0</v>
      </c>
      <c r="E125">
        <v>0</v>
      </c>
      <c r="F125">
        <v>0</v>
      </c>
      <c r="G125">
        <v>0</v>
      </c>
      <c r="H125">
        <v>24.958724</v>
      </c>
      <c r="I125">
        <v>0</v>
      </c>
      <c r="J125">
        <v>24.958724</v>
      </c>
    </row>
    <row r="126" spans="1:10" x14ac:dyDescent="0.25">
      <c r="A126" t="s">
        <v>2</v>
      </c>
      <c r="B126" t="s">
        <v>45</v>
      </c>
      <c r="C126" s="9">
        <v>1994</v>
      </c>
      <c r="D126">
        <v>0</v>
      </c>
      <c r="E126">
        <v>0</v>
      </c>
      <c r="F126">
        <v>0</v>
      </c>
      <c r="G126">
        <v>0</v>
      </c>
      <c r="H126">
        <v>3.0320580000000001</v>
      </c>
      <c r="I126">
        <v>0</v>
      </c>
      <c r="J126">
        <v>3.0320580000000001</v>
      </c>
    </row>
    <row r="127" spans="1:10" x14ac:dyDescent="0.25">
      <c r="A127" t="s">
        <v>2</v>
      </c>
      <c r="B127" t="s">
        <v>47</v>
      </c>
      <c r="C127" s="9">
        <v>1994</v>
      </c>
      <c r="D127">
        <v>0</v>
      </c>
      <c r="E127">
        <v>0</v>
      </c>
      <c r="F127">
        <v>0</v>
      </c>
      <c r="G127">
        <v>0</v>
      </c>
      <c r="H127">
        <v>12.094894999999999</v>
      </c>
      <c r="I127">
        <v>0</v>
      </c>
      <c r="J127">
        <v>12.094894999999999</v>
      </c>
    </row>
    <row r="128" spans="1:10" x14ac:dyDescent="0.25">
      <c r="A128" t="s">
        <v>2</v>
      </c>
      <c r="B128" t="s">
        <v>48</v>
      </c>
      <c r="C128" s="9">
        <v>1994</v>
      </c>
      <c r="D128">
        <v>0</v>
      </c>
      <c r="E128">
        <v>0</v>
      </c>
      <c r="F128">
        <v>0</v>
      </c>
      <c r="G128">
        <v>4.7605199999999996</v>
      </c>
      <c r="H128">
        <v>0</v>
      </c>
      <c r="I128">
        <v>0</v>
      </c>
      <c r="J128">
        <v>4.7605199999999996</v>
      </c>
    </row>
    <row r="129" spans="1:10" x14ac:dyDescent="0.25">
      <c r="A129" t="s">
        <v>2</v>
      </c>
      <c r="B129" t="s">
        <v>55</v>
      </c>
      <c r="C129" s="9">
        <v>1994</v>
      </c>
      <c r="D129">
        <v>0</v>
      </c>
      <c r="E129">
        <v>0</v>
      </c>
      <c r="F129">
        <v>0</v>
      </c>
      <c r="G129">
        <v>0</v>
      </c>
      <c r="H129">
        <v>6.0054559999999997</v>
      </c>
      <c r="I129">
        <v>0</v>
      </c>
      <c r="J129">
        <v>6.0054559999999997</v>
      </c>
    </row>
    <row r="130" spans="1:10" x14ac:dyDescent="0.25">
      <c r="A130" t="s">
        <v>2</v>
      </c>
      <c r="B130" t="s">
        <v>8</v>
      </c>
      <c r="C130" s="9">
        <v>1995</v>
      </c>
      <c r="D130">
        <v>0</v>
      </c>
      <c r="E130">
        <v>0</v>
      </c>
      <c r="F130">
        <v>0</v>
      </c>
      <c r="G130">
        <v>0</v>
      </c>
      <c r="H130">
        <v>6.2587229999999998</v>
      </c>
      <c r="I130">
        <v>0</v>
      </c>
      <c r="J130">
        <v>6.2587229999999998</v>
      </c>
    </row>
    <row r="131" spans="1:10" x14ac:dyDescent="0.25">
      <c r="A131" t="s">
        <v>2</v>
      </c>
      <c r="B131" t="s">
        <v>52</v>
      </c>
      <c r="C131" s="9">
        <v>1995</v>
      </c>
      <c r="D131">
        <v>0</v>
      </c>
      <c r="E131">
        <v>0</v>
      </c>
      <c r="F131">
        <v>0</v>
      </c>
      <c r="G131">
        <v>0</v>
      </c>
      <c r="H131">
        <v>0.19068099999999999</v>
      </c>
      <c r="I131">
        <v>0</v>
      </c>
      <c r="J131">
        <v>0.19068099999999999</v>
      </c>
    </row>
    <row r="132" spans="1:10" x14ac:dyDescent="0.25">
      <c r="A132" t="s">
        <v>3</v>
      </c>
      <c r="B132" t="s">
        <v>10</v>
      </c>
      <c r="C132" s="9">
        <v>1995</v>
      </c>
      <c r="D132">
        <v>0</v>
      </c>
      <c r="E132">
        <v>5.3328239999999996</v>
      </c>
      <c r="F132">
        <v>0</v>
      </c>
      <c r="G132">
        <v>0</v>
      </c>
      <c r="H132">
        <v>0</v>
      </c>
      <c r="I132">
        <v>70.652122000000006</v>
      </c>
      <c r="J132">
        <v>75.984945999999994</v>
      </c>
    </row>
    <row r="133" spans="1:10" x14ac:dyDescent="0.25">
      <c r="A133" t="s">
        <v>2</v>
      </c>
      <c r="B133" t="s">
        <v>11</v>
      </c>
      <c r="C133" s="9">
        <v>1995</v>
      </c>
      <c r="D133">
        <v>0</v>
      </c>
      <c r="E133">
        <v>0</v>
      </c>
      <c r="F133">
        <v>0</v>
      </c>
      <c r="G133">
        <v>0</v>
      </c>
      <c r="H133">
        <v>3.7509450000000002</v>
      </c>
      <c r="I133">
        <v>0</v>
      </c>
      <c r="J133">
        <v>3.7509450000000002</v>
      </c>
    </row>
    <row r="134" spans="1:10" x14ac:dyDescent="0.25">
      <c r="A134" t="s">
        <v>1</v>
      </c>
      <c r="B134" t="s">
        <v>15</v>
      </c>
      <c r="C134" s="9">
        <v>1995</v>
      </c>
      <c r="D134">
        <v>0</v>
      </c>
      <c r="E134">
        <v>0</v>
      </c>
      <c r="F134">
        <v>0</v>
      </c>
      <c r="G134">
        <v>80.017324000000002</v>
      </c>
      <c r="H134">
        <v>14.427129000000001</v>
      </c>
      <c r="I134">
        <v>0</v>
      </c>
      <c r="J134">
        <v>94.444452999999996</v>
      </c>
    </row>
    <row r="135" spans="1:10" x14ac:dyDescent="0.25">
      <c r="A135" t="s">
        <v>4</v>
      </c>
      <c r="B135" t="s">
        <v>17</v>
      </c>
      <c r="C135" s="9">
        <v>1995</v>
      </c>
      <c r="D135">
        <v>0</v>
      </c>
      <c r="E135">
        <v>5.4653700000000001</v>
      </c>
      <c r="F135">
        <v>0</v>
      </c>
      <c r="G135">
        <v>0</v>
      </c>
      <c r="H135">
        <v>0</v>
      </c>
      <c r="I135">
        <v>1.646441</v>
      </c>
      <c r="J135">
        <v>7.1118110000000003</v>
      </c>
    </row>
    <row r="136" spans="1:10" x14ac:dyDescent="0.25">
      <c r="A136" t="s">
        <v>2</v>
      </c>
      <c r="B136" t="s">
        <v>18</v>
      </c>
      <c r="C136" s="9">
        <v>1995</v>
      </c>
      <c r="D136">
        <v>0</v>
      </c>
      <c r="E136">
        <v>0</v>
      </c>
      <c r="F136">
        <v>0</v>
      </c>
      <c r="G136">
        <v>0</v>
      </c>
      <c r="H136">
        <v>0.36662499999999998</v>
      </c>
      <c r="I136">
        <v>0</v>
      </c>
      <c r="J136">
        <v>0.36662499999999998</v>
      </c>
    </row>
    <row r="137" spans="1:10" x14ac:dyDescent="0.25">
      <c r="A137" t="s">
        <v>2</v>
      </c>
      <c r="B137" t="s">
        <v>56</v>
      </c>
      <c r="C137" s="9">
        <v>1995</v>
      </c>
      <c r="D137">
        <v>0</v>
      </c>
      <c r="E137">
        <v>0</v>
      </c>
      <c r="F137">
        <v>0</v>
      </c>
      <c r="G137">
        <v>0</v>
      </c>
      <c r="H137">
        <v>4.5170000000000002E-3</v>
      </c>
      <c r="I137">
        <v>0</v>
      </c>
      <c r="J137">
        <v>4.5170000000000002E-3</v>
      </c>
    </row>
    <row r="138" spans="1:10" x14ac:dyDescent="0.25">
      <c r="A138" t="s">
        <v>1</v>
      </c>
      <c r="B138" t="s">
        <v>53</v>
      </c>
      <c r="C138" s="9">
        <v>1995</v>
      </c>
      <c r="D138">
        <v>0</v>
      </c>
      <c r="E138">
        <v>0</v>
      </c>
      <c r="F138">
        <v>0</v>
      </c>
      <c r="G138">
        <v>0</v>
      </c>
      <c r="H138">
        <v>1.952971</v>
      </c>
      <c r="I138">
        <v>0</v>
      </c>
      <c r="J138">
        <v>1.952971</v>
      </c>
    </row>
    <row r="139" spans="1:10" x14ac:dyDescent="0.25">
      <c r="A139" t="s">
        <v>2</v>
      </c>
      <c r="B139" t="s">
        <v>23</v>
      </c>
      <c r="C139" s="9">
        <v>1995</v>
      </c>
      <c r="D139">
        <v>0</v>
      </c>
      <c r="E139">
        <v>0</v>
      </c>
      <c r="F139">
        <v>0</v>
      </c>
      <c r="G139">
        <v>0</v>
      </c>
      <c r="H139">
        <v>6.7478360000000004</v>
      </c>
      <c r="I139">
        <v>0</v>
      </c>
      <c r="J139">
        <v>6.7478360000000004</v>
      </c>
    </row>
    <row r="140" spans="1:10" x14ac:dyDescent="0.25">
      <c r="A140" t="s">
        <v>4</v>
      </c>
      <c r="B140" t="s">
        <v>26</v>
      </c>
      <c r="C140" s="9">
        <v>1995</v>
      </c>
      <c r="D140">
        <v>6.8731E-2</v>
      </c>
      <c r="E140">
        <v>24.088808</v>
      </c>
      <c r="F140">
        <v>0.20200499999999999</v>
      </c>
      <c r="G140">
        <v>13.407895999999999</v>
      </c>
      <c r="H140">
        <v>0.32521299999999997</v>
      </c>
      <c r="I140">
        <v>48.558042</v>
      </c>
      <c r="J140">
        <v>86.650694999999999</v>
      </c>
    </row>
    <row r="141" spans="1:10" x14ac:dyDescent="0.25">
      <c r="A141" t="s">
        <v>3</v>
      </c>
      <c r="B141" t="s">
        <v>34</v>
      </c>
      <c r="C141" s="9">
        <v>1995</v>
      </c>
      <c r="D141">
        <v>48.093248000000003</v>
      </c>
      <c r="E141">
        <v>716.68645800000002</v>
      </c>
      <c r="F141">
        <v>37.671410999999999</v>
      </c>
      <c r="G141">
        <v>1679.8988690000001</v>
      </c>
      <c r="H141">
        <v>64.848316999999994</v>
      </c>
      <c r="I141">
        <v>1942.7478880000001</v>
      </c>
      <c r="J141">
        <v>4489.946191</v>
      </c>
    </row>
    <row r="142" spans="1:10" x14ac:dyDescent="0.25">
      <c r="A142" t="s">
        <v>4</v>
      </c>
      <c r="B142" t="s">
        <v>35</v>
      </c>
      <c r="C142" s="9">
        <v>1995</v>
      </c>
      <c r="D142">
        <v>7.6400000000000003E-4</v>
      </c>
      <c r="E142">
        <v>15.303786000000001</v>
      </c>
      <c r="F142">
        <v>7.2824E-2</v>
      </c>
      <c r="G142">
        <v>4.0953099999999996</v>
      </c>
      <c r="H142">
        <v>1.140344</v>
      </c>
      <c r="I142">
        <v>14.438094</v>
      </c>
      <c r="J142">
        <v>35.051121999999999</v>
      </c>
    </row>
    <row r="143" spans="1:10" x14ac:dyDescent="0.25">
      <c r="A143" t="s">
        <v>2</v>
      </c>
      <c r="B143" t="s">
        <v>54</v>
      </c>
      <c r="C143" s="9">
        <v>1995</v>
      </c>
      <c r="D143">
        <v>0</v>
      </c>
      <c r="E143">
        <v>0</v>
      </c>
      <c r="F143">
        <v>0</v>
      </c>
      <c r="G143">
        <v>0</v>
      </c>
      <c r="H143">
        <v>0.97683399999999998</v>
      </c>
      <c r="I143">
        <v>0</v>
      </c>
      <c r="J143">
        <v>0.97683399999999998</v>
      </c>
    </row>
    <row r="144" spans="1:10" x14ac:dyDescent="0.25">
      <c r="A144" t="s">
        <v>3</v>
      </c>
      <c r="B144" t="s">
        <v>39</v>
      </c>
      <c r="C144" s="9">
        <v>1995</v>
      </c>
      <c r="D144">
        <v>6.4269800000000004</v>
      </c>
      <c r="E144">
        <v>130.62473700000001</v>
      </c>
      <c r="F144">
        <v>21.225959</v>
      </c>
      <c r="G144">
        <v>36.995587999999998</v>
      </c>
      <c r="H144">
        <v>3.2117629999999999</v>
      </c>
      <c r="I144">
        <v>316.19314900000001</v>
      </c>
      <c r="J144">
        <v>514.67817600000001</v>
      </c>
    </row>
    <row r="145" spans="1:10" x14ac:dyDescent="0.25">
      <c r="A145" t="s">
        <v>3</v>
      </c>
      <c r="B145" t="s">
        <v>41</v>
      </c>
      <c r="C145" s="9">
        <v>1995</v>
      </c>
      <c r="D145">
        <v>51.522362000000001</v>
      </c>
      <c r="E145">
        <v>693.60781899999995</v>
      </c>
      <c r="F145">
        <v>87.919120000000007</v>
      </c>
      <c r="G145">
        <v>1041.7938610000001</v>
      </c>
      <c r="H145">
        <v>382.85009400000001</v>
      </c>
      <c r="I145">
        <v>2410.5864390000002</v>
      </c>
      <c r="J145">
        <v>4668.2796950000002</v>
      </c>
    </row>
    <row r="146" spans="1:10" x14ac:dyDescent="0.25">
      <c r="A146" t="s">
        <v>2</v>
      </c>
      <c r="B146" t="s">
        <v>42</v>
      </c>
      <c r="C146" s="9">
        <v>1995</v>
      </c>
      <c r="D146">
        <v>0</v>
      </c>
      <c r="E146">
        <v>0</v>
      </c>
      <c r="F146">
        <v>0</v>
      </c>
      <c r="G146">
        <v>0</v>
      </c>
      <c r="H146">
        <v>25.763717</v>
      </c>
      <c r="I146">
        <v>0</v>
      </c>
      <c r="J146">
        <v>25.763717</v>
      </c>
    </row>
    <row r="147" spans="1:10" x14ac:dyDescent="0.25">
      <c r="A147" t="s">
        <v>2</v>
      </c>
      <c r="B147" t="s">
        <v>45</v>
      </c>
      <c r="C147" s="9">
        <v>1995</v>
      </c>
      <c r="D147">
        <v>0</v>
      </c>
      <c r="E147">
        <v>0</v>
      </c>
      <c r="F147">
        <v>0</v>
      </c>
      <c r="G147">
        <v>0</v>
      </c>
      <c r="H147">
        <v>2.9926729999999999</v>
      </c>
      <c r="I147">
        <v>0</v>
      </c>
      <c r="J147">
        <v>2.9926729999999999</v>
      </c>
    </row>
    <row r="148" spans="1:10" x14ac:dyDescent="0.25">
      <c r="A148" t="s">
        <v>2</v>
      </c>
      <c r="B148" t="s">
        <v>47</v>
      </c>
      <c r="C148" s="9">
        <v>1995</v>
      </c>
      <c r="D148">
        <v>0</v>
      </c>
      <c r="E148">
        <v>0</v>
      </c>
      <c r="F148">
        <v>0</v>
      </c>
      <c r="G148">
        <v>0</v>
      </c>
      <c r="H148">
        <v>11.905085</v>
      </c>
      <c r="I148">
        <v>0</v>
      </c>
      <c r="J148">
        <v>11.905085</v>
      </c>
    </row>
    <row r="149" spans="1:10" x14ac:dyDescent="0.25">
      <c r="A149" t="s">
        <v>2</v>
      </c>
      <c r="B149" t="s">
        <v>48</v>
      </c>
      <c r="C149" s="9">
        <v>1995</v>
      </c>
      <c r="D149">
        <v>0</v>
      </c>
      <c r="E149">
        <v>0</v>
      </c>
      <c r="F149">
        <v>0</v>
      </c>
      <c r="G149">
        <v>2.2530039999999998</v>
      </c>
      <c r="H149">
        <v>0</v>
      </c>
      <c r="I149">
        <v>0</v>
      </c>
      <c r="J149">
        <v>2.2530039999999998</v>
      </c>
    </row>
    <row r="150" spans="1:10" x14ac:dyDescent="0.25">
      <c r="A150" t="s">
        <v>2</v>
      </c>
      <c r="B150" t="s">
        <v>55</v>
      </c>
      <c r="C150" s="9">
        <v>1995</v>
      </c>
      <c r="D150">
        <v>0</v>
      </c>
      <c r="E150">
        <v>0</v>
      </c>
      <c r="F150">
        <v>0</v>
      </c>
      <c r="G150">
        <v>0</v>
      </c>
      <c r="H150">
        <v>4.7601319999999996</v>
      </c>
      <c r="I150">
        <v>0</v>
      </c>
      <c r="J150">
        <v>4.7601319999999996</v>
      </c>
    </row>
    <row r="151" spans="1:10" x14ac:dyDescent="0.25">
      <c r="A151" t="s">
        <v>2</v>
      </c>
      <c r="B151" t="s">
        <v>8</v>
      </c>
      <c r="C151" s="9">
        <v>1996</v>
      </c>
      <c r="D151">
        <v>0</v>
      </c>
      <c r="E151">
        <v>0</v>
      </c>
      <c r="F151">
        <v>0</v>
      </c>
      <c r="G151">
        <v>0</v>
      </c>
      <c r="H151">
        <v>7.5369989999999998</v>
      </c>
      <c r="I151">
        <v>0</v>
      </c>
      <c r="J151">
        <v>7.5369989999999998</v>
      </c>
    </row>
    <row r="152" spans="1:10" x14ac:dyDescent="0.25">
      <c r="A152" t="s">
        <v>2</v>
      </c>
      <c r="B152" t="s">
        <v>52</v>
      </c>
      <c r="C152" s="9">
        <v>1996</v>
      </c>
      <c r="D152">
        <v>0</v>
      </c>
      <c r="E152">
        <v>0</v>
      </c>
      <c r="F152">
        <v>0</v>
      </c>
      <c r="G152">
        <v>0</v>
      </c>
      <c r="H152">
        <v>9.7752000000000006E-2</v>
      </c>
      <c r="I152">
        <v>0</v>
      </c>
      <c r="J152">
        <v>9.7752000000000006E-2</v>
      </c>
    </row>
    <row r="153" spans="1:10" x14ac:dyDescent="0.25">
      <c r="A153" t="s">
        <v>3</v>
      </c>
      <c r="B153" t="s">
        <v>10</v>
      </c>
      <c r="C153" s="9">
        <v>1996</v>
      </c>
      <c r="D153">
        <v>0</v>
      </c>
      <c r="E153">
        <v>7.4116900000000001</v>
      </c>
      <c r="F153">
        <v>0</v>
      </c>
      <c r="G153">
        <v>0</v>
      </c>
      <c r="H153">
        <v>0</v>
      </c>
      <c r="I153">
        <v>70.127961999999997</v>
      </c>
      <c r="J153">
        <v>77.539652000000004</v>
      </c>
    </row>
    <row r="154" spans="1:10" x14ac:dyDescent="0.25">
      <c r="A154" t="s">
        <v>2</v>
      </c>
      <c r="B154" t="s">
        <v>11</v>
      </c>
      <c r="C154" s="9">
        <v>1996</v>
      </c>
      <c r="D154">
        <v>0</v>
      </c>
      <c r="E154">
        <v>0</v>
      </c>
      <c r="F154">
        <v>0</v>
      </c>
      <c r="G154">
        <v>0</v>
      </c>
      <c r="H154">
        <v>4.5236530000000004</v>
      </c>
      <c r="I154">
        <v>0</v>
      </c>
      <c r="J154">
        <v>4.5236530000000004</v>
      </c>
    </row>
    <row r="155" spans="1:10" x14ac:dyDescent="0.25">
      <c r="A155" t="s">
        <v>1</v>
      </c>
      <c r="B155" t="s">
        <v>15</v>
      </c>
      <c r="C155" s="9">
        <v>1996</v>
      </c>
      <c r="D155">
        <v>0</v>
      </c>
      <c r="E155">
        <v>0</v>
      </c>
      <c r="F155">
        <v>0</v>
      </c>
      <c r="G155">
        <v>4.7863030000000002</v>
      </c>
      <c r="H155">
        <v>0</v>
      </c>
      <c r="I155">
        <v>0</v>
      </c>
      <c r="J155">
        <v>4.7863030000000002</v>
      </c>
    </row>
    <row r="156" spans="1:10" x14ac:dyDescent="0.25">
      <c r="A156" t="s">
        <v>4</v>
      </c>
      <c r="B156" t="s">
        <v>17</v>
      </c>
      <c r="C156" s="9">
        <v>1996</v>
      </c>
      <c r="D156">
        <v>0</v>
      </c>
      <c r="E156">
        <v>8.0920710000000007</v>
      </c>
      <c r="F156">
        <v>0</v>
      </c>
      <c r="G156">
        <v>0</v>
      </c>
      <c r="H156">
        <v>0</v>
      </c>
      <c r="I156">
        <v>1.1928380000000001</v>
      </c>
      <c r="J156">
        <v>9.2849090000000007</v>
      </c>
    </row>
    <row r="157" spans="1:10" x14ac:dyDescent="0.25">
      <c r="A157" t="s">
        <v>2</v>
      </c>
      <c r="B157" t="s">
        <v>18</v>
      </c>
      <c r="C157" s="9">
        <v>1996</v>
      </c>
      <c r="D157">
        <v>0</v>
      </c>
      <c r="E157">
        <v>0</v>
      </c>
      <c r="F157">
        <v>0</v>
      </c>
      <c r="G157">
        <v>0</v>
      </c>
      <c r="H157">
        <v>0.18682499999999999</v>
      </c>
      <c r="I157">
        <v>0</v>
      </c>
      <c r="J157">
        <v>0.18682499999999999</v>
      </c>
    </row>
    <row r="158" spans="1:10" x14ac:dyDescent="0.25">
      <c r="A158" t="s">
        <v>2</v>
      </c>
      <c r="B158" t="s">
        <v>56</v>
      </c>
      <c r="C158" s="9">
        <v>1996</v>
      </c>
      <c r="D158">
        <v>0</v>
      </c>
      <c r="E158">
        <v>0</v>
      </c>
      <c r="F158">
        <v>0</v>
      </c>
      <c r="G158">
        <v>0</v>
      </c>
      <c r="H158">
        <v>10.267099999999999</v>
      </c>
      <c r="I158">
        <v>0</v>
      </c>
      <c r="J158">
        <v>10.267099999999999</v>
      </c>
    </row>
    <row r="159" spans="1:10" x14ac:dyDescent="0.25">
      <c r="A159" t="s">
        <v>1</v>
      </c>
      <c r="B159" t="s">
        <v>53</v>
      </c>
      <c r="C159" s="9">
        <v>1996</v>
      </c>
      <c r="D159">
        <v>0</v>
      </c>
      <c r="E159">
        <v>0</v>
      </c>
      <c r="F159">
        <v>0</v>
      </c>
      <c r="G159">
        <v>0</v>
      </c>
      <c r="H159">
        <v>1.8203659999999999</v>
      </c>
      <c r="I159">
        <v>0</v>
      </c>
      <c r="J159">
        <v>1.8203659999999999</v>
      </c>
    </row>
    <row r="160" spans="1:10" x14ac:dyDescent="0.25">
      <c r="A160" t="s">
        <v>2</v>
      </c>
      <c r="B160" t="s">
        <v>23</v>
      </c>
      <c r="C160" s="9">
        <v>1996</v>
      </c>
      <c r="D160">
        <v>0</v>
      </c>
      <c r="E160">
        <v>0</v>
      </c>
      <c r="F160">
        <v>0</v>
      </c>
      <c r="G160">
        <v>0</v>
      </c>
      <c r="H160">
        <v>7.5474040000000002</v>
      </c>
      <c r="I160">
        <v>0</v>
      </c>
      <c r="J160">
        <v>7.5474040000000002</v>
      </c>
    </row>
    <row r="161" spans="1:10" x14ac:dyDescent="0.25">
      <c r="A161" t="s">
        <v>4</v>
      </c>
      <c r="B161" t="s">
        <v>26</v>
      </c>
      <c r="C161" s="9">
        <v>1996</v>
      </c>
      <c r="D161">
        <v>6.0566000000000002E-2</v>
      </c>
      <c r="E161">
        <v>25.537987999999999</v>
      </c>
      <c r="F161">
        <v>0.39539200000000002</v>
      </c>
      <c r="G161">
        <v>17.438089999999999</v>
      </c>
      <c r="H161">
        <v>0.29918800000000001</v>
      </c>
      <c r="I161">
        <v>48.598005999999998</v>
      </c>
      <c r="J161">
        <v>92.329229999999995</v>
      </c>
    </row>
    <row r="162" spans="1:10" x14ac:dyDescent="0.25">
      <c r="A162" t="s">
        <v>2</v>
      </c>
      <c r="B162" t="s">
        <v>57</v>
      </c>
      <c r="C162" s="9">
        <v>1996</v>
      </c>
      <c r="D162">
        <v>0</v>
      </c>
      <c r="E162">
        <v>0</v>
      </c>
      <c r="F162">
        <v>0</v>
      </c>
      <c r="G162">
        <v>1.3700110000000001</v>
      </c>
      <c r="H162">
        <v>0</v>
      </c>
      <c r="I162">
        <v>0</v>
      </c>
      <c r="J162">
        <v>1.3700110000000001</v>
      </c>
    </row>
    <row r="163" spans="1:10" x14ac:dyDescent="0.25">
      <c r="A163" t="s">
        <v>2</v>
      </c>
      <c r="B163" t="s">
        <v>58</v>
      </c>
      <c r="C163" s="9">
        <v>1996</v>
      </c>
      <c r="D163">
        <v>0</v>
      </c>
      <c r="E163">
        <v>0</v>
      </c>
      <c r="F163">
        <v>0</v>
      </c>
      <c r="G163">
        <v>30.609418999999999</v>
      </c>
      <c r="H163">
        <v>22.846893999999999</v>
      </c>
      <c r="I163">
        <v>0</v>
      </c>
      <c r="J163">
        <v>53.456313000000002</v>
      </c>
    </row>
    <row r="164" spans="1:10" x14ac:dyDescent="0.25">
      <c r="A164" t="s">
        <v>3</v>
      </c>
      <c r="B164" t="s">
        <v>34</v>
      </c>
      <c r="C164" s="9">
        <v>1996</v>
      </c>
      <c r="D164">
        <v>54.345756000000002</v>
      </c>
      <c r="E164">
        <v>713.55992300000003</v>
      </c>
      <c r="F164">
        <v>42.954174999999999</v>
      </c>
      <c r="G164">
        <v>1831.916635</v>
      </c>
      <c r="H164">
        <v>35.444684000000002</v>
      </c>
      <c r="I164">
        <v>1957.774142</v>
      </c>
      <c r="J164">
        <v>4635.9953150000001</v>
      </c>
    </row>
    <row r="165" spans="1:10" x14ac:dyDescent="0.25">
      <c r="A165" t="s">
        <v>4</v>
      </c>
      <c r="B165" t="s">
        <v>35</v>
      </c>
      <c r="C165" s="9">
        <v>1996</v>
      </c>
      <c r="D165">
        <v>9.2599999999999996E-4</v>
      </c>
      <c r="E165">
        <v>15.358551</v>
      </c>
      <c r="F165">
        <v>7.6849000000000001E-2</v>
      </c>
      <c r="G165">
        <v>4.1454110000000002</v>
      </c>
      <c r="H165">
        <v>4.8311E-2</v>
      </c>
      <c r="I165">
        <v>14.522451</v>
      </c>
      <c r="J165">
        <v>34.152498999999999</v>
      </c>
    </row>
    <row r="166" spans="1:10" x14ac:dyDescent="0.25">
      <c r="A166" t="s">
        <v>2</v>
      </c>
      <c r="B166" t="s">
        <v>54</v>
      </c>
      <c r="C166" s="9">
        <v>1996</v>
      </c>
      <c r="D166">
        <v>0</v>
      </c>
      <c r="E166">
        <v>0</v>
      </c>
      <c r="F166">
        <v>0</v>
      </c>
      <c r="G166">
        <v>0</v>
      </c>
      <c r="H166">
        <v>0.55259100000000005</v>
      </c>
      <c r="I166">
        <v>0</v>
      </c>
      <c r="J166">
        <v>0.55259100000000005</v>
      </c>
    </row>
    <row r="167" spans="1:10" x14ac:dyDescent="0.25">
      <c r="A167" t="s">
        <v>3</v>
      </c>
      <c r="B167" t="s">
        <v>39</v>
      </c>
      <c r="C167" s="9">
        <v>1996</v>
      </c>
      <c r="D167">
        <v>8.0248899999999992</v>
      </c>
      <c r="E167">
        <v>126.66143</v>
      </c>
      <c r="F167">
        <v>19.167657999999999</v>
      </c>
      <c r="G167">
        <v>35.462285000000001</v>
      </c>
      <c r="H167">
        <v>2.4120720000000002</v>
      </c>
      <c r="I167">
        <v>317.043317</v>
      </c>
      <c r="J167">
        <v>508.77165200000002</v>
      </c>
    </row>
    <row r="168" spans="1:10" x14ac:dyDescent="0.25">
      <c r="A168" t="s">
        <v>3</v>
      </c>
      <c r="B168" t="s">
        <v>41</v>
      </c>
      <c r="C168" s="9">
        <v>1996</v>
      </c>
      <c r="D168">
        <v>58.417149000000002</v>
      </c>
      <c r="E168">
        <v>736.22725500000001</v>
      </c>
      <c r="F168">
        <v>111.278847</v>
      </c>
      <c r="G168">
        <v>1503.418999</v>
      </c>
      <c r="H168">
        <v>453.671783</v>
      </c>
      <c r="I168">
        <v>2433.092666</v>
      </c>
      <c r="J168">
        <v>5296.1066989999999</v>
      </c>
    </row>
    <row r="169" spans="1:10" x14ac:dyDescent="0.25">
      <c r="A169" t="s">
        <v>2</v>
      </c>
      <c r="B169" t="s">
        <v>42</v>
      </c>
      <c r="C169" s="9">
        <v>1996</v>
      </c>
      <c r="D169">
        <v>0</v>
      </c>
      <c r="E169">
        <v>0</v>
      </c>
      <c r="F169">
        <v>0</v>
      </c>
      <c r="G169">
        <v>0</v>
      </c>
      <c r="H169">
        <v>26.699542000000001</v>
      </c>
      <c r="I169">
        <v>0</v>
      </c>
      <c r="J169">
        <v>26.699542000000001</v>
      </c>
    </row>
    <row r="170" spans="1:10" x14ac:dyDescent="0.25">
      <c r="A170" t="s">
        <v>2</v>
      </c>
      <c r="B170" t="s">
        <v>45</v>
      </c>
      <c r="C170" s="9">
        <v>1996</v>
      </c>
      <c r="D170">
        <v>0</v>
      </c>
      <c r="E170">
        <v>0</v>
      </c>
      <c r="F170">
        <v>0</v>
      </c>
      <c r="G170">
        <v>0</v>
      </c>
      <c r="H170">
        <v>3.9811939999999999</v>
      </c>
      <c r="I170">
        <v>0</v>
      </c>
      <c r="J170">
        <v>3.9811939999999999</v>
      </c>
    </row>
    <row r="171" spans="1:10" x14ac:dyDescent="0.25">
      <c r="A171" t="s">
        <v>2</v>
      </c>
      <c r="B171" t="s">
        <v>47</v>
      </c>
      <c r="C171" s="9">
        <v>1996</v>
      </c>
      <c r="D171">
        <v>0</v>
      </c>
      <c r="E171">
        <v>0</v>
      </c>
      <c r="F171">
        <v>0</v>
      </c>
      <c r="G171">
        <v>0</v>
      </c>
      <c r="H171">
        <v>2.1420560000000002</v>
      </c>
      <c r="I171">
        <v>0</v>
      </c>
      <c r="J171">
        <v>2.1420560000000002</v>
      </c>
    </row>
    <row r="172" spans="1:10" x14ac:dyDescent="0.25">
      <c r="A172" t="s">
        <v>2</v>
      </c>
      <c r="B172" t="s">
        <v>48</v>
      </c>
      <c r="C172" s="9">
        <v>1996</v>
      </c>
      <c r="D172">
        <v>0</v>
      </c>
      <c r="E172">
        <v>0</v>
      </c>
      <c r="F172">
        <v>0</v>
      </c>
      <c r="G172">
        <v>1.8064979999999999</v>
      </c>
      <c r="H172">
        <v>0</v>
      </c>
      <c r="I172">
        <v>0</v>
      </c>
      <c r="J172">
        <v>1.8064979999999999</v>
      </c>
    </row>
    <row r="173" spans="1:10" x14ac:dyDescent="0.25">
      <c r="A173" t="s">
        <v>1</v>
      </c>
      <c r="B173" t="s">
        <v>7</v>
      </c>
      <c r="C173" s="9">
        <v>1997</v>
      </c>
      <c r="D173">
        <v>0</v>
      </c>
      <c r="E173">
        <v>0</v>
      </c>
      <c r="F173">
        <v>0</v>
      </c>
      <c r="G173">
        <v>0</v>
      </c>
      <c r="H173">
        <v>326.00732799999997</v>
      </c>
      <c r="I173">
        <v>0</v>
      </c>
      <c r="J173">
        <v>326.00732799999997</v>
      </c>
    </row>
    <row r="174" spans="1:10" x14ac:dyDescent="0.25">
      <c r="A174" t="s">
        <v>2</v>
      </c>
      <c r="B174" t="s">
        <v>52</v>
      </c>
      <c r="C174" s="9">
        <v>1997</v>
      </c>
      <c r="D174">
        <v>0</v>
      </c>
      <c r="E174">
        <v>0</v>
      </c>
      <c r="F174">
        <v>0</v>
      </c>
      <c r="G174">
        <v>0</v>
      </c>
      <c r="H174">
        <v>5.3010000000000002E-2</v>
      </c>
      <c r="I174">
        <v>0</v>
      </c>
      <c r="J174">
        <v>5.3010000000000002E-2</v>
      </c>
    </row>
    <row r="175" spans="1:10" x14ac:dyDescent="0.25">
      <c r="A175" t="s">
        <v>3</v>
      </c>
      <c r="B175" t="s">
        <v>10</v>
      </c>
      <c r="C175" s="9">
        <v>1997</v>
      </c>
      <c r="D175">
        <v>0</v>
      </c>
      <c r="E175">
        <v>5.6587329999999998</v>
      </c>
      <c r="F175">
        <v>1.3798E-2</v>
      </c>
      <c r="G175">
        <v>0</v>
      </c>
      <c r="H175">
        <v>0</v>
      </c>
      <c r="I175">
        <v>76.066905000000006</v>
      </c>
      <c r="J175">
        <v>81.739435999999998</v>
      </c>
    </row>
    <row r="176" spans="1:10" x14ac:dyDescent="0.25">
      <c r="A176" t="s">
        <v>2</v>
      </c>
      <c r="B176" t="s">
        <v>11</v>
      </c>
      <c r="C176" s="9">
        <v>1997</v>
      </c>
      <c r="D176">
        <v>0</v>
      </c>
      <c r="E176">
        <v>0</v>
      </c>
      <c r="F176">
        <v>0</v>
      </c>
      <c r="G176">
        <v>0</v>
      </c>
      <c r="H176">
        <v>4.0282200000000001</v>
      </c>
      <c r="I176">
        <v>0</v>
      </c>
      <c r="J176">
        <v>4.0282200000000001</v>
      </c>
    </row>
    <row r="177" spans="1:10" x14ac:dyDescent="0.25">
      <c r="A177" t="s">
        <v>4</v>
      </c>
      <c r="B177" t="s">
        <v>17</v>
      </c>
      <c r="C177" s="9">
        <v>1997</v>
      </c>
      <c r="D177">
        <v>0</v>
      </c>
      <c r="E177">
        <v>0.621143</v>
      </c>
      <c r="F177">
        <v>0</v>
      </c>
      <c r="G177">
        <v>0</v>
      </c>
      <c r="H177">
        <v>0</v>
      </c>
      <c r="I177">
        <v>1.067264</v>
      </c>
      <c r="J177">
        <v>1.688407</v>
      </c>
    </row>
    <row r="178" spans="1:10" x14ac:dyDescent="0.25">
      <c r="A178" t="s">
        <v>2</v>
      </c>
      <c r="B178" t="s">
        <v>56</v>
      </c>
      <c r="C178" s="9">
        <v>1997</v>
      </c>
      <c r="D178">
        <v>0</v>
      </c>
      <c r="E178">
        <v>0</v>
      </c>
      <c r="F178">
        <v>0</v>
      </c>
      <c r="G178">
        <v>0</v>
      </c>
      <c r="H178">
        <v>15.877101</v>
      </c>
      <c r="I178">
        <v>0</v>
      </c>
      <c r="J178">
        <v>15.877101</v>
      </c>
    </row>
    <row r="179" spans="1:10" x14ac:dyDescent="0.25">
      <c r="A179" t="s">
        <v>1</v>
      </c>
      <c r="B179" t="s">
        <v>53</v>
      </c>
      <c r="C179" s="9">
        <v>1997</v>
      </c>
      <c r="D179">
        <v>0</v>
      </c>
      <c r="E179">
        <v>0</v>
      </c>
      <c r="F179">
        <v>0</v>
      </c>
      <c r="G179">
        <v>0</v>
      </c>
      <c r="H179">
        <v>1.500372</v>
      </c>
      <c r="I179">
        <v>0</v>
      </c>
      <c r="J179">
        <v>1.500372</v>
      </c>
    </row>
    <row r="180" spans="1:10" x14ac:dyDescent="0.25">
      <c r="A180" t="s">
        <v>2</v>
      </c>
      <c r="B180" t="s">
        <v>59</v>
      </c>
      <c r="C180" s="9">
        <v>1997</v>
      </c>
      <c r="D180">
        <v>0</v>
      </c>
      <c r="E180">
        <v>0</v>
      </c>
      <c r="F180">
        <v>0</v>
      </c>
      <c r="G180">
        <v>9.9254700000000007</v>
      </c>
      <c r="H180">
        <v>0.160273</v>
      </c>
      <c r="I180">
        <v>0</v>
      </c>
      <c r="J180">
        <v>10.085743000000001</v>
      </c>
    </row>
    <row r="181" spans="1:10" x14ac:dyDescent="0.25">
      <c r="A181" t="s">
        <v>2</v>
      </c>
      <c r="B181" t="s">
        <v>23</v>
      </c>
      <c r="C181" s="9">
        <v>1997</v>
      </c>
      <c r="D181">
        <v>0</v>
      </c>
      <c r="E181">
        <v>0</v>
      </c>
      <c r="F181">
        <v>0</v>
      </c>
      <c r="G181">
        <v>0</v>
      </c>
      <c r="H181">
        <v>7.3778189999999997</v>
      </c>
      <c r="I181">
        <v>0</v>
      </c>
      <c r="J181">
        <v>7.3778189999999997</v>
      </c>
    </row>
    <row r="182" spans="1:10" x14ac:dyDescent="0.25">
      <c r="A182" t="s">
        <v>4</v>
      </c>
      <c r="B182" t="s">
        <v>26</v>
      </c>
      <c r="C182" s="9">
        <v>1997</v>
      </c>
      <c r="D182">
        <v>0.19331799999999999</v>
      </c>
      <c r="E182">
        <v>28.726769000000001</v>
      </c>
      <c r="F182">
        <v>1.34907</v>
      </c>
      <c r="G182">
        <v>15.610968</v>
      </c>
      <c r="H182">
        <v>0.25619599999999998</v>
      </c>
      <c r="I182">
        <v>46.575612</v>
      </c>
      <c r="J182">
        <v>92.711933000000002</v>
      </c>
    </row>
    <row r="183" spans="1:10" x14ac:dyDescent="0.25">
      <c r="A183" t="s">
        <v>3</v>
      </c>
      <c r="B183" t="s">
        <v>34</v>
      </c>
      <c r="C183" s="9">
        <v>1997</v>
      </c>
      <c r="D183">
        <v>54.741382999999999</v>
      </c>
      <c r="E183">
        <v>725.01911900000005</v>
      </c>
      <c r="F183">
        <v>47.129958999999999</v>
      </c>
      <c r="G183">
        <v>1885.2718600000001</v>
      </c>
      <c r="H183">
        <v>17.645710000000001</v>
      </c>
      <c r="I183">
        <v>1960.534257</v>
      </c>
      <c r="J183">
        <v>4690.3422879999998</v>
      </c>
    </row>
    <row r="184" spans="1:10" x14ac:dyDescent="0.25">
      <c r="A184" t="s">
        <v>4</v>
      </c>
      <c r="B184" t="s">
        <v>35</v>
      </c>
      <c r="C184" s="9">
        <v>1997</v>
      </c>
      <c r="D184">
        <v>4.0480000000000004E-3</v>
      </c>
      <c r="E184">
        <v>15.255953999999999</v>
      </c>
      <c r="F184">
        <v>0.37839400000000001</v>
      </c>
      <c r="G184">
        <v>4.1208499999999999</v>
      </c>
      <c r="H184">
        <v>3.9237000000000001E-2</v>
      </c>
      <c r="I184">
        <v>14.47964</v>
      </c>
      <c r="J184">
        <v>34.278123000000001</v>
      </c>
    </row>
    <row r="185" spans="1:10" x14ac:dyDescent="0.25">
      <c r="A185" t="s">
        <v>1</v>
      </c>
      <c r="B185" t="s">
        <v>60</v>
      </c>
      <c r="C185" s="9">
        <v>1997</v>
      </c>
      <c r="D185">
        <v>0</v>
      </c>
      <c r="E185">
        <v>0</v>
      </c>
      <c r="F185">
        <v>0</v>
      </c>
      <c r="G185">
        <v>3.5635659999999998</v>
      </c>
      <c r="H185">
        <v>0</v>
      </c>
      <c r="I185">
        <v>0</v>
      </c>
      <c r="J185">
        <v>3.5635659999999998</v>
      </c>
    </row>
    <row r="186" spans="1:10" x14ac:dyDescent="0.25">
      <c r="A186" t="s">
        <v>2</v>
      </c>
      <c r="B186" t="s">
        <v>61</v>
      </c>
      <c r="C186" s="9">
        <v>1997</v>
      </c>
      <c r="D186">
        <v>0</v>
      </c>
      <c r="E186">
        <v>0</v>
      </c>
      <c r="F186">
        <v>0</v>
      </c>
      <c r="G186">
        <v>6.5823729999999996</v>
      </c>
      <c r="H186">
        <v>0</v>
      </c>
      <c r="I186">
        <v>0</v>
      </c>
      <c r="J186">
        <v>6.5823729999999996</v>
      </c>
    </row>
    <row r="187" spans="1:10" x14ac:dyDescent="0.25">
      <c r="A187" t="s">
        <v>3</v>
      </c>
      <c r="B187" t="s">
        <v>39</v>
      </c>
      <c r="C187" s="9">
        <v>1997</v>
      </c>
      <c r="D187">
        <v>8.5344320000000007</v>
      </c>
      <c r="E187">
        <v>129.33404200000001</v>
      </c>
      <c r="F187">
        <v>17.573042000000001</v>
      </c>
      <c r="G187">
        <v>36.964056999999997</v>
      </c>
      <c r="H187">
        <v>1.74718</v>
      </c>
      <c r="I187">
        <v>311.53760999999997</v>
      </c>
      <c r="J187">
        <v>505.69036299999999</v>
      </c>
    </row>
    <row r="188" spans="1:10" x14ac:dyDescent="0.25">
      <c r="A188" t="s">
        <v>2</v>
      </c>
      <c r="B188" t="s">
        <v>40</v>
      </c>
      <c r="C188" s="9">
        <v>1997</v>
      </c>
      <c r="D188">
        <v>0</v>
      </c>
      <c r="E188">
        <v>0</v>
      </c>
      <c r="F188">
        <v>0</v>
      </c>
      <c r="G188">
        <v>0</v>
      </c>
      <c r="H188">
        <v>2.2131439999999998</v>
      </c>
      <c r="I188">
        <v>0</v>
      </c>
      <c r="J188">
        <v>2.2131439999999998</v>
      </c>
    </row>
    <row r="189" spans="1:10" x14ac:dyDescent="0.25">
      <c r="A189" t="s">
        <v>3</v>
      </c>
      <c r="B189" t="s">
        <v>41</v>
      </c>
      <c r="C189" s="9">
        <v>1997</v>
      </c>
      <c r="D189">
        <v>65.316205999999994</v>
      </c>
      <c r="E189">
        <v>724.57169099999999</v>
      </c>
      <c r="F189">
        <v>92.314482999999996</v>
      </c>
      <c r="G189">
        <v>1471.9392270000001</v>
      </c>
      <c r="H189">
        <v>459.65597700000001</v>
      </c>
      <c r="I189">
        <v>2394.4734440000002</v>
      </c>
      <c r="J189">
        <v>5208.2710280000001</v>
      </c>
    </row>
    <row r="190" spans="1:10" x14ac:dyDescent="0.25">
      <c r="A190" t="s">
        <v>2</v>
      </c>
      <c r="B190" t="s">
        <v>62</v>
      </c>
      <c r="C190" s="9">
        <v>1997</v>
      </c>
      <c r="D190">
        <v>0</v>
      </c>
      <c r="E190">
        <v>0</v>
      </c>
      <c r="F190">
        <v>0</v>
      </c>
      <c r="G190">
        <v>12.484327</v>
      </c>
      <c r="H190">
        <v>0</v>
      </c>
      <c r="I190">
        <v>0</v>
      </c>
      <c r="J190">
        <v>12.484327</v>
      </c>
    </row>
    <row r="191" spans="1:10" x14ac:dyDescent="0.25">
      <c r="A191" t="s">
        <v>2</v>
      </c>
      <c r="B191" t="s">
        <v>63</v>
      </c>
      <c r="C191" s="9">
        <v>1997</v>
      </c>
      <c r="D191">
        <v>0</v>
      </c>
      <c r="E191">
        <v>0</v>
      </c>
      <c r="F191">
        <v>0</v>
      </c>
      <c r="G191">
        <v>0</v>
      </c>
      <c r="H191">
        <v>3.367165</v>
      </c>
      <c r="I191">
        <v>0</v>
      </c>
      <c r="J191">
        <v>3.367165</v>
      </c>
    </row>
    <row r="192" spans="1:10" x14ac:dyDescent="0.25">
      <c r="A192" t="s">
        <v>2</v>
      </c>
      <c r="B192" t="s">
        <v>42</v>
      </c>
      <c r="C192" s="9">
        <v>1997</v>
      </c>
      <c r="D192">
        <v>0</v>
      </c>
      <c r="E192">
        <v>0</v>
      </c>
      <c r="F192">
        <v>0</v>
      </c>
      <c r="G192">
        <v>0</v>
      </c>
      <c r="H192">
        <v>40.787545000000001</v>
      </c>
      <c r="I192">
        <v>0</v>
      </c>
      <c r="J192">
        <v>40.787545000000001</v>
      </c>
    </row>
    <row r="193" spans="1:10" x14ac:dyDescent="0.25">
      <c r="A193" t="s">
        <v>2</v>
      </c>
      <c r="B193" t="s">
        <v>45</v>
      </c>
      <c r="C193" s="9">
        <v>1997</v>
      </c>
      <c r="D193">
        <v>0</v>
      </c>
      <c r="E193">
        <v>0</v>
      </c>
      <c r="F193">
        <v>0</v>
      </c>
      <c r="G193">
        <v>0</v>
      </c>
      <c r="H193">
        <v>5.146738</v>
      </c>
      <c r="I193">
        <v>0</v>
      </c>
      <c r="J193">
        <v>5.146738</v>
      </c>
    </row>
    <row r="194" spans="1:10" x14ac:dyDescent="0.25">
      <c r="A194" t="s">
        <v>2</v>
      </c>
      <c r="B194" t="s">
        <v>64</v>
      </c>
      <c r="C194" s="9">
        <v>1997</v>
      </c>
      <c r="D194">
        <v>0</v>
      </c>
      <c r="E194">
        <v>0</v>
      </c>
      <c r="F194">
        <v>0</v>
      </c>
      <c r="G194">
        <v>0.63753499999999996</v>
      </c>
      <c r="H194">
        <v>0</v>
      </c>
      <c r="I194">
        <v>0</v>
      </c>
      <c r="J194">
        <v>0.63753499999999996</v>
      </c>
    </row>
    <row r="195" spans="1:10" x14ac:dyDescent="0.25">
      <c r="A195" t="s">
        <v>2</v>
      </c>
      <c r="B195" t="s">
        <v>65</v>
      </c>
      <c r="C195" s="9">
        <v>1997</v>
      </c>
      <c r="D195">
        <v>0</v>
      </c>
      <c r="E195">
        <v>0</v>
      </c>
      <c r="F195">
        <v>0</v>
      </c>
      <c r="G195">
        <v>0</v>
      </c>
      <c r="H195">
        <v>0.52848799999999996</v>
      </c>
      <c r="I195">
        <v>0</v>
      </c>
      <c r="J195">
        <v>0.52848799999999996</v>
      </c>
    </row>
    <row r="196" spans="1:10" x14ac:dyDescent="0.25">
      <c r="A196" t="s">
        <v>1</v>
      </c>
      <c r="B196" t="s">
        <v>66</v>
      </c>
      <c r="C196" s="9">
        <v>1997</v>
      </c>
      <c r="D196">
        <v>0</v>
      </c>
      <c r="E196">
        <v>0</v>
      </c>
      <c r="F196">
        <v>0</v>
      </c>
      <c r="G196">
        <v>5.7043189999999999</v>
      </c>
      <c r="H196">
        <v>0</v>
      </c>
      <c r="I196">
        <v>0</v>
      </c>
      <c r="J196">
        <v>5.7043189999999999</v>
      </c>
    </row>
    <row r="197" spans="1:10" x14ac:dyDescent="0.25">
      <c r="A197" t="s">
        <v>2</v>
      </c>
      <c r="B197" t="s">
        <v>47</v>
      </c>
      <c r="C197" s="9">
        <v>1997</v>
      </c>
      <c r="D197">
        <v>0</v>
      </c>
      <c r="E197">
        <v>0</v>
      </c>
      <c r="F197">
        <v>0</v>
      </c>
      <c r="G197">
        <v>1.018006</v>
      </c>
      <c r="H197">
        <v>0</v>
      </c>
      <c r="I197">
        <v>0</v>
      </c>
      <c r="J197">
        <v>1.018006</v>
      </c>
    </row>
    <row r="198" spans="1:10" x14ac:dyDescent="0.25">
      <c r="A198" t="s">
        <v>2</v>
      </c>
      <c r="B198" t="s">
        <v>67</v>
      </c>
      <c r="C198" s="9">
        <v>1997</v>
      </c>
      <c r="D198">
        <v>5.7035629999999999</v>
      </c>
      <c r="E198">
        <v>1.213721</v>
      </c>
      <c r="F198">
        <v>0</v>
      </c>
      <c r="G198">
        <v>10.061152</v>
      </c>
      <c r="H198">
        <v>1.957417</v>
      </c>
      <c r="I198">
        <v>0</v>
      </c>
      <c r="J198">
        <v>18.935853000000002</v>
      </c>
    </row>
    <row r="199" spans="1:10" x14ac:dyDescent="0.25">
      <c r="A199" t="s">
        <v>1</v>
      </c>
      <c r="B199" t="s">
        <v>7</v>
      </c>
      <c r="C199" s="9">
        <v>1998</v>
      </c>
      <c r="D199">
        <v>0</v>
      </c>
      <c r="E199">
        <v>0</v>
      </c>
      <c r="F199">
        <v>0</v>
      </c>
      <c r="G199">
        <v>0</v>
      </c>
      <c r="H199">
        <v>395.33427699999999</v>
      </c>
      <c r="I199">
        <v>0</v>
      </c>
      <c r="J199">
        <v>395.33427699999999</v>
      </c>
    </row>
    <row r="200" spans="1:10" x14ac:dyDescent="0.25">
      <c r="A200" t="s">
        <v>2</v>
      </c>
      <c r="B200" t="s">
        <v>68</v>
      </c>
      <c r="C200" s="9">
        <v>1998</v>
      </c>
      <c r="D200">
        <v>0</v>
      </c>
      <c r="E200">
        <v>0</v>
      </c>
      <c r="F200">
        <v>0</v>
      </c>
      <c r="G200">
        <v>0</v>
      </c>
      <c r="H200">
        <v>14.918317999999999</v>
      </c>
      <c r="I200">
        <v>0</v>
      </c>
      <c r="J200">
        <v>14.918317999999999</v>
      </c>
    </row>
    <row r="201" spans="1:10" x14ac:dyDescent="0.25">
      <c r="A201" t="s">
        <v>2</v>
      </c>
      <c r="B201" t="s">
        <v>52</v>
      </c>
      <c r="C201" s="9">
        <v>1998</v>
      </c>
      <c r="D201">
        <v>0</v>
      </c>
      <c r="E201">
        <v>0</v>
      </c>
      <c r="F201">
        <v>0</v>
      </c>
      <c r="G201">
        <v>0</v>
      </c>
      <c r="H201">
        <v>7.9608999999999999E-2</v>
      </c>
      <c r="I201">
        <v>0</v>
      </c>
      <c r="J201">
        <v>7.9608999999999999E-2</v>
      </c>
    </row>
    <row r="202" spans="1:10" x14ac:dyDescent="0.25">
      <c r="A202" t="s">
        <v>3</v>
      </c>
      <c r="B202" t="s">
        <v>10</v>
      </c>
      <c r="C202" s="9">
        <v>1998</v>
      </c>
      <c r="D202">
        <v>0</v>
      </c>
      <c r="E202">
        <v>4.8763579999999997</v>
      </c>
      <c r="F202">
        <v>0</v>
      </c>
      <c r="G202">
        <v>0</v>
      </c>
      <c r="H202">
        <v>0</v>
      </c>
      <c r="I202">
        <v>90.163555000000002</v>
      </c>
      <c r="J202">
        <v>95.039912999999999</v>
      </c>
    </row>
    <row r="203" spans="1:10" x14ac:dyDescent="0.25">
      <c r="A203" t="s">
        <v>2</v>
      </c>
      <c r="B203" t="s">
        <v>69</v>
      </c>
      <c r="C203" s="9">
        <v>1998</v>
      </c>
      <c r="D203">
        <v>0</v>
      </c>
      <c r="E203">
        <v>0</v>
      </c>
      <c r="F203">
        <v>0</v>
      </c>
      <c r="G203">
        <v>0</v>
      </c>
      <c r="H203">
        <v>0.16240099999999999</v>
      </c>
      <c r="I203">
        <v>0</v>
      </c>
      <c r="J203">
        <v>0.16240099999999999</v>
      </c>
    </row>
    <row r="204" spans="1:10" x14ac:dyDescent="0.25">
      <c r="A204" t="s">
        <v>2</v>
      </c>
      <c r="B204" t="s">
        <v>70</v>
      </c>
      <c r="C204" s="9">
        <v>1998</v>
      </c>
      <c r="D204">
        <v>0</v>
      </c>
      <c r="E204">
        <v>0</v>
      </c>
      <c r="F204">
        <v>0</v>
      </c>
      <c r="G204">
        <v>0</v>
      </c>
      <c r="H204">
        <v>22.696498999999999</v>
      </c>
      <c r="I204">
        <v>0</v>
      </c>
      <c r="J204">
        <v>22.696498999999999</v>
      </c>
    </row>
    <row r="205" spans="1:10" x14ac:dyDescent="0.25">
      <c r="A205" t="s">
        <v>1</v>
      </c>
      <c r="B205" t="s">
        <v>15</v>
      </c>
      <c r="C205" s="9">
        <v>1998</v>
      </c>
      <c r="D205">
        <v>0</v>
      </c>
      <c r="E205">
        <v>0</v>
      </c>
      <c r="F205">
        <v>0</v>
      </c>
      <c r="G205">
        <v>30.898185999999999</v>
      </c>
      <c r="H205">
        <v>157.18166600000001</v>
      </c>
      <c r="I205">
        <v>0</v>
      </c>
      <c r="J205">
        <v>188.07985199999999</v>
      </c>
    </row>
    <row r="206" spans="1:10" x14ac:dyDescent="0.25">
      <c r="A206" t="s">
        <v>4</v>
      </c>
      <c r="B206" t="s">
        <v>17</v>
      </c>
      <c r="C206" s="9">
        <v>1998</v>
      </c>
      <c r="D206">
        <v>0</v>
      </c>
      <c r="E206">
        <v>0.97435700000000003</v>
      </c>
      <c r="F206">
        <v>0</v>
      </c>
      <c r="G206">
        <v>0</v>
      </c>
      <c r="H206">
        <v>0</v>
      </c>
      <c r="I206">
        <v>1.7826789999999999</v>
      </c>
      <c r="J206">
        <v>2.7570359999999998</v>
      </c>
    </row>
    <row r="207" spans="1:10" x14ac:dyDescent="0.25">
      <c r="A207" t="s">
        <v>2</v>
      </c>
      <c r="B207" t="s">
        <v>56</v>
      </c>
      <c r="C207" s="9">
        <v>1998</v>
      </c>
      <c r="D207">
        <v>0</v>
      </c>
      <c r="E207">
        <v>0</v>
      </c>
      <c r="F207">
        <v>0</v>
      </c>
      <c r="G207">
        <v>0</v>
      </c>
      <c r="H207">
        <v>21.117785999999999</v>
      </c>
      <c r="I207">
        <v>0</v>
      </c>
      <c r="J207">
        <v>21.117785999999999</v>
      </c>
    </row>
    <row r="208" spans="1:10" x14ac:dyDescent="0.25">
      <c r="A208" t="s">
        <v>1</v>
      </c>
      <c r="B208" t="s">
        <v>53</v>
      </c>
      <c r="C208" s="9">
        <v>1998</v>
      </c>
      <c r="D208">
        <v>0</v>
      </c>
      <c r="E208">
        <v>0</v>
      </c>
      <c r="F208">
        <v>0</v>
      </c>
      <c r="G208">
        <v>0</v>
      </c>
      <c r="H208">
        <v>0.93955900000000003</v>
      </c>
      <c r="I208">
        <v>0</v>
      </c>
      <c r="J208">
        <v>0.93955900000000003</v>
      </c>
    </row>
    <row r="209" spans="1:10" x14ac:dyDescent="0.25">
      <c r="A209" t="s">
        <v>2</v>
      </c>
      <c r="B209" t="s">
        <v>59</v>
      </c>
      <c r="C209" s="9">
        <v>1998</v>
      </c>
      <c r="D209">
        <v>0</v>
      </c>
      <c r="E209">
        <v>0</v>
      </c>
      <c r="F209">
        <v>0</v>
      </c>
      <c r="G209">
        <v>4.1955080000000002</v>
      </c>
      <c r="H209">
        <v>0</v>
      </c>
      <c r="I209">
        <v>0</v>
      </c>
      <c r="J209">
        <v>4.1955080000000002</v>
      </c>
    </row>
    <row r="210" spans="1:10" x14ac:dyDescent="0.25">
      <c r="A210" t="s">
        <v>2</v>
      </c>
      <c r="B210" t="s">
        <v>23</v>
      </c>
      <c r="C210" s="9">
        <v>1998</v>
      </c>
      <c r="D210">
        <v>0</v>
      </c>
      <c r="E210">
        <v>0</v>
      </c>
      <c r="F210">
        <v>0</v>
      </c>
      <c r="G210">
        <v>0</v>
      </c>
      <c r="H210">
        <v>4.2807000000000004</v>
      </c>
      <c r="I210">
        <v>0</v>
      </c>
      <c r="J210">
        <v>4.2807000000000004</v>
      </c>
    </row>
    <row r="211" spans="1:10" x14ac:dyDescent="0.25">
      <c r="A211" t="s">
        <v>4</v>
      </c>
      <c r="B211" t="s">
        <v>26</v>
      </c>
      <c r="C211" s="9">
        <v>1998</v>
      </c>
      <c r="D211">
        <v>0.14108299999999999</v>
      </c>
      <c r="E211">
        <v>32.687586000000003</v>
      </c>
      <c r="F211">
        <v>0.18653800000000001</v>
      </c>
      <c r="G211">
        <v>25.818086000000001</v>
      </c>
      <c r="H211">
        <v>0.25250499999999998</v>
      </c>
      <c r="I211">
        <v>52.378301999999998</v>
      </c>
      <c r="J211">
        <v>111.4641</v>
      </c>
    </row>
    <row r="212" spans="1:10" x14ac:dyDescent="0.25">
      <c r="A212" t="s">
        <v>2</v>
      </c>
      <c r="B212" t="s">
        <v>58</v>
      </c>
      <c r="C212" s="9">
        <v>1998</v>
      </c>
      <c r="D212">
        <v>0</v>
      </c>
      <c r="E212">
        <v>0</v>
      </c>
      <c r="F212">
        <v>0</v>
      </c>
      <c r="G212">
        <v>32.781274000000003</v>
      </c>
      <c r="H212">
        <v>9.6111149999999999</v>
      </c>
      <c r="I212">
        <v>0</v>
      </c>
      <c r="J212">
        <v>42.392389000000001</v>
      </c>
    </row>
    <row r="213" spans="1:10" x14ac:dyDescent="0.25">
      <c r="A213" t="s">
        <v>3</v>
      </c>
      <c r="B213" t="s">
        <v>34</v>
      </c>
      <c r="C213" s="9">
        <v>1998</v>
      </c>
      <c r="D213">
        <v>63.393402999999999</v>
      </c>
      <c r="E213">
        <v>820.31910000000005</v>
      </c>
      <c r="F213">
        <v>46.501569000000003</v>
      </c>
      <c r="G213">
        <v>1704.2717279999999</v>
      </c>
      <c r="H213">
        <v>30.939416000000001</v>
      </c>
      <c r="I213">
        <v>2238.7336829999999</v>
      </c>
      <c r="J213">
        <v>4904.158899</v>
      </c>
    </row>
    <row r="214" spans="1:10" x14ac:dyDescent="0.25">
      <c r="A214" t="s">
        <v>4</v>
      </c>
      <c r="B214" t="s">
        <v>35</v>
      </c>
      <c r="C214" s="9">
        <v>1998</v>
      </c>
      <c r="D214">
        <v>6.3879999999999996E-3</v>
      </c>
      <c r="E214">
        <v>16.236901</v>
      </c>
      <c r="F214">
        <v>4.8612000000000002E-2</v>
      </c>
      <c r="G214">
        <v>4.2985889999999998</v>
      </c>
      <c r="H214">
        <v>3.5457000000000002E-2</v>
      </c>
      <c r="I214">
        <v>16.95515</v>
      </c>
      <c r="J214">
        <v>37.581097</v>
      </c>
    </row>
    <row r="215" spans="1:10" x14ac:dyDescent="0.25">
      <c r="A215" t="s">
        <v>1</v>
      </c>
      <c r="B215" t="s">
        <v>60</v>
      </c>
      <c r="C215" s="9">
        <v>1998</v>
      </c>
      <c r="D215">
        <v>0</v>
      </c>
      <c r="E215">
        <v>0</v>
      </c>
      <c r="F215">
        <v>0</v>
      </c>
      <c r="G215">
        <v>5.4131369999999999</v>
      </c>
      <c r="H215">
        <v>0</v>
      </c>
      <c r="I215">
        <v>0</v>
      </c>
      <c r="J215">
        <v>5.4131369999999999</v>
      </c>
    </row>
    <row r="216" spans="1:10" x14ac:dyDescent="0.25">
      <c r="A216" t="s">
        <v>2</v>
      </c>
      <c r="B216" t="s">
        <v>61</v>
      </c>
      <c r="C216" s="9">
        <v>1998</v>
      </c>
      <c r="D216">
        <v>0</v>
      </c>
      <c r="E216">
        <v>0</v>
      </c>
      <c r="F216">
        <v>0</v>
      </c>
      <c r="G216">
        <v>7.4818720000000001</v>
      </c>
      <c r="H216">
        <v>0</v>
      </c>
      <c r="I216">
        <v>0</v>
      </c>
      <c r="J216">
        <v>7.4818720000000001</v>
      </c>
    </row>
    <row r="217" spans="1:10" x14ac:dyDescent="0.25">
      <c r="A217" t="s">
        <v>3</v>
      </c>
      <c r="B217" t="s">
        <v>39</v>
      </c>
      <c r="C217" s="9">
        <v>1998</v>
      </c>
      <c r="D217">
        <v>7.5246420000000001</v>
      </c>
      <c r="E217">
        <v>132.006643</v>
      </c>
      <c r="F217">
        <v>18.357059</v>
      </c>
      <c r="G217">
        <v>38.509520999999999</v>
      </c>
      <c r="H217">
        <v>1.488415</v>
      </c>
      <c r="I217">
        <v>323.96717599999999</v>
      </c>
      <c r="J217">
        <v>521.85345600000005</v>
      </c>
    </row>
    <row r="218" spans="1:10" x14ac:dyDescent="0.25">
      <c r="A218" t="s">
        <v>3</v>
      </c>
      <c r="B218" t="s">
        <v>41</v>
      </c>
      <c r="C218" s="9">
        <v>1998</v>
      </c>
      <c r="D218">
        <v>68.384428999999997</v>
      </c>
      <c r="E218">
        <v>816.32912399999998</v>
      </c>
      <c r="F218">
        <v>69.923176999999995</v>
      </c>
      <c r="G218">
        <v>1607.887481</v>
      </c>
      <c r="H218">
        <v>556.96498399999996</v>
      </c>
      <c r="I218">
        <v>2759.5596860000001</v>
      </c>
      <c r="J218">
        <v>5879.0488809999997</v>
      </c>
    </row>
    <row r="219" spans="1:10" x14ac:dyDescent="0.25">
      <c r="A219" t="s">
        <v>2</v>
      </c>
      <c r="B219" t="s">
        <v>62</v>
      </c>
      <c r="C219" s="9">
        <v>1998</v>
      </c>
      <c r="D219">
        <v>0</v>
      </c>
      <c r="E219">
        <v>0</v>
      </c>
      <c r="F219">
        <v>0</v>
      </c>
      <c r="G219">
        <v>20.785405999999998</v>
      </c>
      <c r="H219">
        <v>0</v>
      </c>
      <c r="I219">
        <v>0</v>
      </c>
      <c r="J219">
        <v>20.785405999999998</v>
      </c>
    </row>
    <row r="220" spans="1:10" x14ac:dyDescent="0.25">
      <c r="A220" t="s">
        <v>2</v>
      </c>
      <c r="B220" t="s">
        <v>63</v>
      </c>
      <c r="C220" s="9">
        <v>1998</v>
      </c>
      <c r="D220">
        <v>0</v>
      </c>
      <c r="E220">
        <v>0</v>
      </c>
      <c r="F220">
        <v>0</v>
      </c>
      <c r="G220">
        <v>0</v>
      </c>
      <c r="H220">
        <v>3.1246619999999998</v>
      </c>
      <c r="I220">
        <v>0</v>
      </c>
      <c r="J220">
        <v>3.1246619999999998</v>
      </c>
    </row>
    <row r="221" spans="1:10" x14ac:dyDescent="0.25">
      <c r="A221" t="s">
        <v>2</v>
      </c>
      <c r="B221" t="s">
        <v>42</v>
      </c>
      <c r="C221" s="9">
        <v>1998</v>
      </c>
      <c r="D221">
        <v>0</v>
      </c>
      <c r="E221">
        <v>0</v>
      </c>
      <c r="F221">
        <v>0</v>
      </c>
      <c r="G221">
        <v>0</v>
      </c>
      <c r="H221">
        <v>55.364044</v>
      </c>
      <c r="I221">
        <v>0</v>
      </c>
      <c r="J221">
        <v>55.364044</v>
      </c>
    </row>
    <row r="222" spans="1:10" x14ac:dyDescent="0.25">
      <c r="A222" t="s">
        <v>2</v>
      </c>
      <c r="B222" t="s">
        <v>45</v>
      </c>
      <c r="C222" s="9">
        <v>1998</v>
      </c>
      <c r="D222">
        <v>0</v>
      </c>
      <c r="E222">
        <v>0</v>
      </c>
      <c r="F222">
        <v>0</v>
      </c>
      <c r="G222">
        <v>0</v>
      </c>
      <c r="H222">
        <v>3.812001</v>
      </c>
      <c r="I222">
        <v>0</v>
      </c>
      <c r="J222">
        <v>3.812001</v>
      </c>
    </row>
    <row r="223" spans="1:10" x14ac:dyDescent="0.25">
      <c r="A223" t="s">
        <v>2</v>
      </c>
      <c r="B223" t="s">
        <v>64</v>
      </c>
      <c r="C223" s="9">
        <v>1998</v>
      </c>
      <c r="D223">
        <v>0</v>
      </c>
      <c r="E223">
        <v>0</v>
      </c>
      <c r="F223">
        <v>0</v>
      </c>
      <c r="G223">
        <v>0.51072499999999998</v>
      </c>
      <c r="H223">
        <v>0</v>
      </c>
      <c r="I223">
        <v>0</v>
      </c>
      <c r="J223">
        <v>0.51072499999999998</v>
      </c>
    </row>
    <row r="224" spans="1:10" x14ac:dyDescent="0.25">
      <c r="A224" t="s">
        <v>2</v>
      </c>
      <c r="B224" t="s">
        <v>65</v>
      </c>
      <c r="C224" s="9">
        <v>1998</v>
      </c>
      <c r="D224">
        <v>0</v>
      </c>
      <c r="E224">
        <v>0</v>
      </c>
      <c r="F224">
        <v>0</v>
      </c>
      <c r="G224">
        <v>27.128269</v>
      </c>
      <c r="H224">
        <v>0</v>
      </c>
      <c r="I224">
        <v>0</v>
      </c>
      <c r="J224">
        <v>27.128269</v>
      </c>
    </row>
    <row r="225" spans="1:10" x14ac:dyDescent="0.25">
      <c r="A225" t="s">
        <v>1</v>
      </c>
      <c r="B225" t="s">
        <v>66</v>
      </c>
      <c r="C225" s="9">
        <v>1998</v>
      </c>
      <c r="D225">
        <v>0</v>
      </c>
      <c r="E225">
        <v>5.521636</v>
      </c>
      <c r="F225">
        <v>4.7633000000000002E-2</v>
      </c>
      <c r="G225">
        <v>7.5194169999999998</v>
      </c>
      <c r="H225">
        <v>0</v>
      </c>
      <c r="I225">
        <v>0</v>
      </c>
      <c r="J225">
        <v>13.088685999999999</v>
      </c>
    </row>
    <row r="226" spans="1:10" x14ac:dyDescent="0.25">
      <c r="A226" t="s">
        <v>2</v>
      </c>
      <c r="B226" t="s">
        <v>47</v>
      </c>
      <c r="C226" s="9">
        <v>1998</v>
      </c>
      <c r="D226">
        <v>0</v>
      </c>
      <c r="E226">
        <v>0</v>
      </c>
      <c r="F226">
        <v>0</v>
      </c>
      <c r="G226">
        <v>0.952264</v>
      </c>
      <c r="H226">
        <v>0</v>
      </c>
      <c r="I226">
        <v>0</v>
      </c>
      <c r="J226">
        <v>0.952264</v>
      </c>
    </row>
    <row r="227" spans="1:10" x14ac:dyDescent="0.25">
      <c r="A227" t="s">
        <v>2</v>
      </c>
      <c r="B227" t="s">
        <v>67</v>
      </c>
      <c r="C227" s="9">
        <v>1998</v>
      </c>
      <c r="D227">
        <v>6.7145859999999997</v>
      </c>
      <c r="E227">
        <v>2.680431</v>
      </c>
      <c r="F227">
        <v>1.4866000000000001E-2</v>
      </c>
      <c r="G227">
        <v>32.007007000000002</v>
      </c>
      <c r="H227">
        <v>4.3538459999999999</v>
      </c>
      <c r="I227">
        <v>0</v>
      </c>
      <c r="J227">
        <v>45.770735999999999</v>
      </c>
    </row>
    <row r="228" spans="1:10" x14ac:dyDescent="0.25">
      <c r="A228" t="s">
        <v>1</v>
      </c>
      <c r="B228" t="s">
        <v>7</v>
      </c>
      <c r="C228" s="9">
        <v>1999</v>
      </c>
      <c r="D228">
        <v>0</v>
      </c>
      <c r="E228">
        <v>0</v>
      </c>
      <c r="F228">
        <v>0</v>
      </c>
      <c r="G228">
        <v>0</v>
      </c>
      <c r="H228">
        <v>406.17327899999998</v>
      </c>
      <c r="I228">
        <v>0</v>
      </c>
      <c r="J228">
        <v>406.17327899999998</v>
      </c>
    </row>
    <row r="229" spans="1:10" x14ac:dyDescent="0.25">
      <c r="A229" t="s">
        <v>2</v>
      </c>
      <c r="B229" t="s">
        <v>68</v>
      </c>
      <c r="C229" s="9">
        <v>1999</v>
      </c>
      <c r="D229">
        <v>0</v>
      </c>
      <c r="E229">
        <v>0</v>
      </c>
      <c r="F229">
        <v>0</v>
      </c>
      <c r="G229">
        <v>0</v>
      </c>
      <c r="H229">
        <v>12.969290000000001</v>
      </c>
      <c r="I229">
        <v>0</v>
      </c>
      <c r="J229">
        <v>12.969290000000001</v>
      </c>
    </row>
    <row r="230" spans="1:10" x14ac:dyDescent="0.25">
      <c r="A230" t="s">
        <v>2</v>
      </c>
      <c r="B230" t="s">
        <v>52</v>
      </c>
      <c r="C230" s="9">
        <v>1999</v>
      </c>
      <c r="D230">
        <v>0</v>
      </c>
      <c r="E230">
        <v>0</v>
      </c>
      <c r="F230">
        <v>0</v>
      </c>
      <c r="G230">
        <v>0</v>
      </c>
      <c r="H230">
        <v>0.116572</v>
      </c>
      <c r="I230">
        <v>0</v>
      </c>
      <c r="J230">
        <v>0.116572</v>
      </c>
    </row>
    <row r="231" spans="1:10" x14ac:dyDescent="0.25">
      <c r="A231" t="s">
        <v>3</v>
      </c>
      <c r="B231" t="s">
        <v>10</v>
      </c>
      <c r="C231" s="9">
        <v>1999</v>
      </c>
      <c r="D231">
        <v>0</v>
      </c>
      <c r="E231">
        <v>4.6894749999999998</v>
      </c>
      <c r="F231">
        <v>0</v>
      </c>
      <c r="G231">
        <v>0</v>
      </c>
      <c r="H231">
        <v>0</v>
      </c>
      <c r="I231">
        <v>85.119957999999997</v>
      </c>
      <c r="J231">
        <v>89.809432999999999</v>
      </c>
    </row>
    <row r="232" spans="1:10" x14ac:dyDescent="0.25">
      <c r="A232" t="s">
        <v>2</v>
      </c>
      <c r="B232" t="s">
        <v>69</v>
      </c>
      <c r="C232" s="9">
        <v>1999</v>
      </c>
      <c r="D232">
        <v>0</v>
      </c>
      <c r="E232">
        <v>0</v>
      </c>
      <c r="F232">
        <v>0</v>
      </c>
      <c r="G232">
        <v>0</v>
      </c>
      <c r="H232">
        <v>0.30169699999999999</v>
      </c>
      <c r="I232">
        <v>0</v>
      </c>
      <c r="J232">
        <v>0.30169699999999999</v>
      </c>
    </row>
    <row r="233" spans="1:10" x14ac:dyDescent="0.25">
      <c r="A233" t="s">
        <v>1</v>
      </c>
      <c r="B233" t="s">
        <v>15</v>
      </c>
      <c r="C233" s="9">
        <v>1999</v>
      </c>
      <c r="D233">
        <v>0</v>
      </c>
      <c r="E233">
        <v>0</v>
      </c>
      <c r="F233">
        <v>0</v>
      </c>
      <c r="G233">
        <v>0.61089599999999999</v>
      </c>
      <c r="H233">
        <v>199.65620000000001</v>
      </c>
      <c r="I233">
        <v>0</v>
      </c>
      <c r="J233">
        <v>200.26709600000001</v>
      </c>
    </row>
    <row r="234" spans="1:10" x14ac:dyDescent="0.25">
      <c r="A234" t="s">
        <v>4</v>
      </c>
      <c r="B234" t="s">
        <v>17</v>
      </c>
      <c r="C234" s="9">
        <v>1999</v>
      </c>
      <c r="D234">
        <v>0</v>
      </c>
      <c r="E234">
        <v>1.063234</v>
      </c>
      <c r="F234">
        <v>0</v>
      </c>
      <c r="G234">
        <v>0</v>
      </c>
      <c r="H234">
        <v>0</v>
      </c>
      <c r="I234">
        <v>1.7540899999999999</v>
      </c>
      <c r="J234">
        <v>2.8173240000000002</v>
      </c>
    </row>
    <row r="235" spans="1:10" x14ac:dyDescent="0.25">
      <c r="A235" t="s">
        <v>2</v>
      </c>
      <c r="B235" t="s">
        <v>56</v>
      </c>
      <c r="C235" s="9">
        <v>1999</v>
      </c>
      <c r="D235">
        <v>0</v>
      </c>
      <c r="E235">
        <v>0</v>
      </c>
      <c r="F235">
        <v>0</v>
      </c>
      <c r="G235">
        <v>0</v>
      </c>
      <c r="H235">
        <v>26.610050999999999</v>
      </c>
      <c r="I235">
        <v>0</v>
      </c>
      <c r="J235">
        <v>26.610050999999999</v>
      </c>
    </row>
    <row r="236" spans="1:10" x14ac:dyDescent="0.25">
      <c r="A236" t="s">
        <v>1</v>
      </c>
      <c r="B236" t="s">
        <v>53</v>
      </c>
      <c r="C236" s="9">
        <v>1999</v>
      </c>
      <c r="D236">
        <v>0</v>
      </c>
      <c r="E236">
        <v>0</v>
      </c>
      <c r="F236">
        <v>0</v>
      </c>
      <c r="G236">
        <v>0</v>
      </c>
      <c r="H236">
        <v>7.3602000000000001E-2</v>
      </c>
      <c r="I236">
        <v>0</v>
      </c>
      <c r="J236">
        <v>7.3602000000000001E-2</v>
      </c>
    </row>
    <row r="237" spans="1:10" x14ac:dyDescent="0.25">
      <c r="A237" t="s">
        <v>2</v>
      </c>
      <c r="B237" t="s">
        <v>23</v>
      </c>
      <c r="C237" s="9">
        <v>1999</v>
      </c>
      <c r="D237">
        <v>0</v>
      </c>
      <c r="E237">
        <v>0</v>
      </c>
      <c r="F237">
        <v>0</v>
      </c>
      <c r="G237">
        <v>0</v>
      </c>
      <c r="H237">
        <v>2.3283640000000001</v>
      </c>
      <c r="I237">
        <v>0</v>
      </c>
      <c r="J237">
        <v>2.3283640000000001</v>
      </c>
    </row>
    <row r="238" spans="1:10" x14ac:dyDescent="0.25">
      <c r="A238" t="s">
        <v>2</v>
      </c>
      <c r="B238" t="s">
        <v>71</v>
      </c>
      <c r="C238" s="9">
        <v>1999</v>
      </c>
      <c r="D238">
        <v>0</v>
      </c>
      <c r="E238">
        <v>0</v>
      </c>
      <c r="F238">
        <v>0</v>
      </c>
      <c r="G238">
        <v>0</v>
      </c>
      <c r="H238">
        <v>0.39085799999999998</v>
      </c>
      <c r="I238">
        <v>0</v>
      </c>
      <c r="J238">
        <v>0.39085799999999998</v>
      </c>
    </row>
    <row r="239" spans="1:10" x14ac:dyDescent="0.25">
      <c r="A239" t="s">
        <v>4</v>
      </c>
      <c r="B239" t="s">
        <v>26</v>
      </c>
      <c r="C239" s="9">
        <v>1999</v>
      </c>
      <c r="D239">
        <v>0.160914</v>
      </c>
      <c r="E239">
        <v>35.366647999999998</v>
      </c>
      <c r="F239">
        <v>7.4899999999999994E-2</v>
      </c>
      <c r="G239">
        <v>28.853119</v>
      </c>
      <c r="H239">
        <v>0.33506200000000003</v>
      </c>
      <c r="I239">
        <v>56.285254000000002</v>
      </c>
      <c r="J239">
        <v>121.075897</v>
      </c>
    </row>
    <row r="240" spans="1:10" x14ac:dyDescent="0.25">
      <c r="A240" t="s">
        <v>2</v>
      </c>
      <c r="B240" t="s">
        <v>58</v>
      </c>
      <c r="C240" s="9">
        <v>1999</v>
      </c>
      <c r="D240">
        <v>0</v>
      </c>
      <c r="E240">
        <v>0</v>
      </c>
      <c r="F240">
        <v>0</v>
      </c>
      <c r="G240">
        <v>11.917479999999999</v>
      </c>
      <c r="H240">
        <v>15.921065</v>
      </c>
      <c r="I240">
        <v>0</v>
      </c>
      <c r="J240">
        <v>27.838545</v>
      </c>
    </row>
    <row r="241" spans="1:10" x14ac:dyDescent="0.25">
      <c r="A241" t="s">
        <v>3</v>
      </c>
      <c r="B241" t="s">
        <v>34</v>
      </c>
      <c r="C241" s="9">
        <v>1999</v>
      </c>
      <c r="D241">
        <v>71.362971999999999</v>
      </c>
      <c r="E241">
        <v>857.83271500000001</v>
      </c>
      <c r="F241">
        <v>50.037700999999998</v>
      </c>
      <c r="G241">
        <v>1621.7086179999999</v>
      </c>
      <c r="H241">
        <v>21.079319000000002</v>
      </c>
      <c r="I241">
        <v>2401.4417079999998</v>
      </c>
      <c r="J241">
        <v>5023.463033</v>
      </c>
    </row>
    <row r="242" spans="1:10" x14ac:dyDescent="0.25">
      <c r="A242" t="s">
        <v>4</v>
      </c>
      <c r="B242" t="s">
        <v>35</v>
      </c>
      <c r="C242" s="9">
        <v>1999</v>
      </c>
      <c r="D242">
        <v>1.0758E-2</v>
      </c>
      <c r="E242">
        <v>16.147915999999999</v>
      </c>
      <c r="F242">
        <v>2.4572E-2</v>
      </c>
      <c r="G242">
        <v>4.3845580000000002</v>
      </c>
      <c r="H242">
        <v>7.825E-2</v>
      </c>
      <c r="I242">
        <v>16.464074</v>
      </c>
      <c r="J242">
        <v>37.110128000000003</v>
      </c>
    </row>
    <row r="243" spans="1:10" x14ac:dyDescent="0.25">
      <c r="A243" t="s">
        <v>1</v>
      </c>
      <c r="B243" t="s">
        <v>60</v>
      </c>
      <c r="C243" s="9">
        <v>1999</v>
      </c>
      <c r="D243">
        <v>0</v>
      </c>
      <c r="E243">
        <v>0</v>
      </c>
      <c r="F243">
        <v>0</v>
      </c>
      <c r="G243">
        <v>0</v>
      </c>
      <c r="H243">
        <v>0.47053299999999998</v>
      </c>
      <c r="I243">
        <v>0</v>
      </c>
      <c r="J243">
        <v>0.47053299999999998</v>
      </c>
    </row>
    <row r="244" spans="1:10" x14ac:dyDescent="0.25">
      <c r="A244" t="s">
        <v>2</v>
      </c>
      <c r="B244" t="s">
        <v>61</v>
      </c>
      <c r="C244" s="9">
        <v>1999</v>
      </c>
      <c r="D244">
        <v>0</v>
      </c>
      <c r="E244">
        <v>0</v>
      </c>
      <c r="F244">
        <v>0</v>
      </c>
      <c r="G244">
        <v>7.8855269999999997</v>
      </c>
      <c r="H244">
        <v>0</v>
      </c>
      <c r="I244">
        <v>0</v>
      </c>
      <c r="J244">
        <v>7.8855269999999997</v>
      </c>
    </row>
    <row r="245" spans="1:10" x14ac:dyDescent="0.25">
      <c r="A245" t="s">
        <v>3</v>
      </c>
      <c r="B245" t="s">
        <v>39</v>
      </c>
      <c r="C245" s="9">
        <v>1999</v>
      </c>
      <c r="D245">
        <v>8.3335570000000008</v>
      </c>
      <c r="E245">
        <v>134.679134</v>
      </c>
      <c r="F245">
        <v>18.845980999999998</v>
      </c>
      <c r="G245">
        <v>39.765698999999998</v>
      </c>
      <c r="H245">
        <v>1.733074</v>
      </c>
      <c r="I245">
        <v>336.39674200000002</v>
      </c>
      <c r="J245">
        <v>539.754187</v>
      </c>
    </row>
    <row r="246" spans="1:10" x14ac:dyDescent="0.25">
      <c r="A246" t="s">
        <v>2</v>
      </c>
      <c r="B246" t="s">
        <v>40</v>
      </c>
      <c r="C246" s="9">
        <v>1999</v>
      </c>
      <c r="D246">
        <v>0</v>
      </c>
      <c r="E246">
        <v>7.1335819999999996</v>
      </c>
      <c r="F246">
        <v>0</v>
      </c>
      <c r="G246">
        <v>0</v>
      </c>
      <c r="H246">
        <v>0</v>
      </c>
      <c r="I246">
        <v>0</v>
      </c>
      <c r="J246">
        <v>7.1335819999999996</v>
      </c>
    </row>
    <row r="247" spans="1:10" x14ac:dyDescent="0.25">
      <c r="A247" t="s">
        <v>3</v>
      </c>
      <c r="B247" t="s">
        <v>41</v>
      </c>
      <c r="C247" s="9">
        <v>1999</v>
      </c>
      <c r="D247">
        <v>84.673705999999996</v>
      </c>
      <c r="E247">
        <v>849.103295</v>
      </c>
      <c r="F247">
        <v>71.356356000000005</v>
      </c>
      <c r="G247">
        <v>1675.0445990000001</v>
      </c>
      <c r="H247">
        <v>470.06815899999998</v>
      </c>
      <c r="I247">
        <v>2814.0746370000002</v>
      </c>
      <c r="J247">
        <v>5964.3207519999996</v>
      </c>
    </row>
    <row r="248" spans="1:10" x14ac:dyDescent="0.25">
      <c r="A248" t="s">
        <v>2</v>
      </c>
      <c r="B248" t="s">
        <v>72</v>
      </c>
      <c r="C248" s="9">
        <v>1999</v>
      </c>
      <c r="D248">
        <v>0</v>
      </c>
      <c r="E248">
        <v>0</v>
      </c>
      <c r="F248">
        <v>0</v>
      </c>
      <c r="G248">
        <v>0</v>
      </c>
      <c r="H248">
        <v>0.27704400000000001</v>
      </c>
      <c r="I248">
        <v>0</v>
      </c>
      <c r="J248">
        <v>0.27704400000000001</v>
      </c>
    </row>
    <row r="249" spans="1:10" x14ac:dyDescent="0.25">
      <c r="A249" t="s">
        <v>2</v>
      </c>
      <c r="B249" t="s">
        <v>63</v>
      </c>
      <c r="C249" s="9">
        <v>1999</v>
      </c>
      <c r="D249">
        <v>0</v>
      </c>
      <c r="E249">
        <v>0</v>
      </c>
      <c r="F249">
        <v>0</v>
      </c>
      <c r="G249">
        <v>0</v>
      </c>
      <c r="H249">
        <v>2.23916</v>
      </c>
      <c r="I249">
        <v>0</v>
      </c>
      <c r="J249">
        <v>2.23916</v>
      </c>
    </row>
    <row r="250" spans="1:10" x14ac:dyDescent="0.25">
      <c r="A250" t="s">
        <v>2</v>
      </c>
      <c r="B250" t="s">
        <v>42</v>
      </c>
      <c r="C250" s="9">
        <v>1999</v>
      </c>
      <c r="D250">
        <v>0</v>
      </c>
      <c r="E250">
        <v>0</v>
      </c>
      <c r="F250">
        <v>0</v>
      </c>
      <c r="G250">
        <v>0</v>
      </c>
      <c r="H250">
        <v>62.955663999999999</v>
      </c>
      <c r="I250">
        <v>0</v>
      </c>
      <c r="J250">
        <v>62.955663999999999</v>
      </c>
    </row>
    <row r="251" spans="1:10" x14ac:dyDescent="0.25">
      <c r="A251" t="s">
        <v>2</v>
      </c>
      <c r="B251" t="s">
        <v>45</v>
      </c>
      <c r="C251" s="9">
        <v>1999</v>
      </c>
      <c r="D251">
        <v>0</v>
      </c>
      <c r="E251">
        <v>0</v>
      </c>
      <c r="F251">
        <v>0</v>
      </c>
      <c r="G251">
        <v>0</v>
      </c>
      <c r="H251">
        <v>2.9439920000000002</v>
      </c>
      <c r="I251">
        <v>0</v>
      </c>
      <c r="J251">
        <v>2.9439920000000002</v>
      </c>
    </row>
    <row r="252" spans="1:10" x14ac:dyDescent="0.25">
      <c r="A252" t="s">
        <v>1</v>
      </c>
      <c r="B252" t="s">
        <v>66</v>
      </c>
      <c r="C252" s="9">
        <v>1999</v>
      </c>
      <c r="D252">
        <v>0</v>
      </c>
      <c r="E252">
        <v>5.3483619999999998</v>
      </c>
      <c r="F252">
        <v>0</v>
      </c>
      <c r="G252">
        <v>4.9976139999999996</v>
      </c>
      <c r="H252">
        <v>0</v>
      </c>
      <c r="I252">
        <v>0</v>
      </c>
      <c r="J252">
        <v>10.345976</v>
      </c>
    </row>
    <row r="253" spans="1:10" x14ac:dyDescent="0.25">
      <c r="A253" t="s">
        <v>2</v>
      </c>
      <c r="B253" t="s">
        <v>47</v>
      </c>
      <c r="C253" s="9">
        <v>1999</v>
      </c>
      <c r="D253">
        <v>0</v>
      </c>
      <c r="E253">
        <v>0</v>
      </c>
      <c r="F253">
        <v>0</v>
      </c>
      <c r="G253">
        <v>2.3389880000000001</v>
      </c>
      <c r="H253">
        <v>0</v>
      </c>
      <c r="I253">
        <v>0</v>
      </c>
      <c r="J253">
        <v>2.3389880000000001</v>
      </c>
    </row>
    <row r="254" spans="1:10" x14ac:dyDescent="0.25">
      <c r="A254" t="s">
        <v>2</v>
      </c>
      <c r="B254" t="s">
        <v>48</v>
      </c>
      <c r="C254" s="9">
        <v>1999</v>
      </c>
      <c r="D254">
        <v>0</v>
      </c>
      <c r="E254">
        <v>0</v>
      </c>
      <c r="F254">
        <v>0</v>
      </c>
      <c r="G254">
        <v>1.913306</v>
      </c>
      <c r="H254">
        <v>0</v>
      </c>
      <c r="I254">
        <v>0</v>
      </c>
      <c r="J254">
        <v>1.913306</v>
      </c>
    </row>
    <row r="255" spans="1:10" x14ac:dyDescent="0.25">
      <c r="A255" t="s">
        <v>2</v>
      </c>
      <c r="B255" t="s">
        <v>67</v>
      </c>
      <c r="C255" s="9">
        <v>1999</v>
      </c>
      <c r="D255">
        <v>2.4220199999999998</v>
      </c>
      <c r="E255">
        <v>0.97712399999999999</v>
      </c>
      <c r="F255">
        <v>3.0950000000000001E-3</v>
      </c>
      <c r="G255">
        <v>4.9765779999999999</v>
      </c>
      <c r="H255">
        <v>0.66867900000000002</v>
      </c>
      <c r="I255">
        <v>0</v>
      </c>
      <c r="J255">
        <v>9.0474960000000006</v>
      </c>
    </row>
    <row r="256" spans="1:10" x14ac:dyDescent="0.25">
      <c r="A256" t="s">
        <v>1</v>
      </c>
      <c r="B256" t="s">
        <v>7</v>
      </c>
      <c r="C256" s="9">
        <v>2000</v>
      </c>
      <c r="D256">
        <v>0</v>
      </c>
      <c r="E256">
        <v>0</v>
      </c>
      <c r="F256">
        <v>0</v>
      </c>
      <c r="G256">
        <v>0</v>
      </c>
      <c r="H256">
        <v>397.27415100000002</v>
      </c>
      <c r="I256">
        <v>0</v>
      </c>
      <c r="J256">
        <v>397.27415100000002</v>
      </c>
    </row>
    <row r="257" spans="1:10" x14ac:dyDescent="0.25">
      <c r="A257" t="s">
        <v>2</v>
      </c>
      <c r="B257" t="s">
        <v>68</v>
      </c>
      <c r="C257" s="9">
        <v>2000</v>
      </c>
      <c r="D257">
        <v>0</v>
      </c>
      <c r="E257">
        <v>0</v>
      </c>
      <c r="F257">
        <v>0</v>
      </c>
      <c r="G257">
        <v>0</v>
      </c>
      <c r="H257">
        <v>10.438734999999999</v>
      </c>
      <c r="I257">
        <v>0</v>
      </c>
      <c r="J257">
        <v>10.438734999999999</v>
      </c>
    </row>
    <row r="258" spans="1:10" x14ac:dyDescent="0.25">
      <c r="A258" t="s">
        <v>2</v>
      </c>
      <c r="B258" t="s">
        <v>52</v>
      </c>
      <c r="C258" s="9">
        <v>2000</v>
      </c>
      <c r="D258">
        <v>0</v>
      </c>
      <c r="E258">
        <v>0</v>
      </c>
      <c r="F258">
        <v>0</v>
      </c>
      <c r="G258">
        <v>0</v>
      </c>
      <c r="H258">
        <v>5.8004E-2</v>
      </c>
      <c r="I258">
        <v>0</v>
      </c>
      <c r="J258">
        <v>5.8004E-2</v>
      </c>
    </row>
    <row r="259" spans="1:10" x14ac:dyDescent="0.25">
      <c r="A259" t="s">
        <v>1</v>
      </c>
      <c r="B259" t="s">
        <v>15</v>
      </c>
      <c r="C259" s="9">
        <v>2000</v>
      </c>
      <c r="D259">
        <v>0</v>
      </c>
      <c r="E259">
        <v>0</v>
      </c>
      <c r="F259">
        <v>0</v>
      </c>
      <c r="G259">
        <v>0</v>
      </c>
      <c r="H259">
        <v>176.00428299999999</v>
      </c>
      <c r="I259">
        <v>0</v>
      </c>
      <c r="J259">
        <v>176.00428299999999</v>
      </c>
    </row>
    <row r="260" spans="1:10" x14ac:dyDescent="0.25">
      <c r="A260" t="s">
        <v>4</v>
      </c>
      <c r="B260" t="s">
        <v>17</v>
      </c>
      <c r="C260" s="9">
        <v>2000</v>
      </c>
      <c r="D260">
        <v>0</v>
      </c>
      <c r="E260">
        <v>0.88897099999999996</v>
      </c>
      <c r="F260">
        <v>0</v>
      </c>
      <c r="G260">
        <v>0</v>
      </c>
      <c r="H260">
        <v>0</v>
      </c>
      <c r="I260">
        <v>1.6129279999999999</v>
      </c>
      <c r="J260">
        <v>2.5018989999999999</v>
      </c>
    </row>
    <row r="261" spans="1:10" x14ac:dyDescent="0.25">
      <c r="A261" t="s">
        <v>2</v>
      </c>
      <c r="B261" t="s">
        <v>73</v>
      </c>
      <c r="C261" s="9">
        <v>2000</v>
      </c>
      <c r="D261">
        <v>0</v>
      </c>
      <c r="E261">
        <v>0</v>
      </c>
      <c r="F261">
        <v>0</v>
      </c>
      <c r="G261">
        <v>0</v>
      </c>
      <c r="H261">
        <v>3.8063310000000001</v>
      </c>
      <c r="I261">
        <v>0</v>
      </c>
      <c r="J261">
        <v>3.8063310000000001</v>
      </c>
    </row>
    <row r="262" spans="1:10" x14ac:dyDescent="0.25">
      <c r="A262" t="s">
        <v>2</v>
      </c>
      <c r="B262" t="s">
        <v>56</v>
      </c>
      <c r="C262" s="9">
        <v>2000</v>
      </c>
      <c r="D262">
        <v>0</v>
      </c>
      <c r="E262">
        <v>0</v>
      </c>
      <c r="F262">
        <v>0</v>
      </c>
      <c r="G262">
        <v>0</v>
      </c>
      <c r="H262">
        <v>19.990237</v>
      </c>
      <c r="I262">
        <v>0</v>
      </c>
      <c r="J262">
        <v>19.990237</v>
      </c>
    </row>
    <row r="263" spans="1:10" x14ac:dyDescent="0.25">
      <c r="A263" t="s">
        <v>1</v>
      </c>
      <c r="B263" t="s">
        <v>53</v>
      </c>
      <c r="C263" s="9">
        <v>2000</v>
      </c>
      <c r="D263">
        <v>0</v>
      </c>
      <c r="E263">
        <v>0</v>
      </c>
      <c r="F263">
        <v>0</v>
      </c>
      <c r="G263">
        <v>0</v>
      </c>
      <c r="H263">
        <v>0.51835500000000001</v>
      </c>
      <c r="I263">
        <v>0</v>
      </c>
      <c r="J263">
        <v>0.51835500000000001</v>
      </c>
    </row>
    <row r="264" spans="1:10" x14ac:dyDescent="0.25">
      <c r="A264" t="s">
        <v>4</v>
      </c>
      <c r="B264" t="s">
        <v>26</v>
      </c>
      <c r="C264" s="9">
        <v>2000</v>
      </c>
      <c r="D264">
        <v>0.123958</v>
      </c>
      <c r="E264">
        <v>34.743972999999997</v>
      </c>
      <c r="F264">
        <v>8.3812999999999999E-2</v>
      </c>
      <c r="G264">
        <v>24.436737000000001</v>
      </c>
      <c r="H264">
        <v>0.19691900000000001</v>
      </c>
      <c r="I264">
        <v>54.047868999999999</v>
      </c>
      <c r="J264">
        <v>113.633269</v>
      </c>
    </row>
    <row r="265" spans="1:10" x14ac:dyDescent="0.25">
      <c r="A265" t="s">
        <v>2</v>
      </c>
      <c r="B265" t="s">
        <v>58</v>
      </c>
      <c r="C265" s="9">
        <v>2000</v>
      </c>
      <c r="D265">
        <v>0</v>
      </c>
      <c r="E265">
        <v>0</v>
      </c>
      <c r="F265">
        <v>0</v>
      </c>
      <c r="G265">
        <v>12.690027000000001</v>
      </c>
      <c r="H265">
        <v>0</v>
      </c>
      <c r="I265">
        <v>0</v>
      </c>
      <c r="J265">
        <v>12.690027000000001</v>
      </c>
    </row>
    <row r="266" spans="1:10" x14ac:dyDescent="0.25">
      <c r="A266" t="s">
        <v>3</v>
      </c>
      <c r="B266" t="s">
        <v>34</v>
      </c>
      <c r="C266" s="9">
        <v>2000</v>
      </c>
      <c r="D266">
        <v>62.693640000000002</v>
      </c>
      <c r="E266">
        <v>868.07651499999997</v>
      </c>
      <c r="F266">
        <v>53.796979</v>
      </c>
      <c r="G266">
        <v>1745.4720560000001</v>
      </c>
      <c r="H266">
        <v>26.068587000000001</v>
      </c>
      <c r="I266">
        <v>2162.5322110000002</v>
      </c>
      <c r="J266">
        <v>4918.6399879999999</v>
      </c>
    </row>
    <row r="267" spans="1:10" x14ac:dyDescent="0.25">
      <c r="A267" t="s">
        <v>4</v>
      </c>
      <c r="B267" t="s">
        <v>35</v>
      </c>
      <c r="C267" s="9">
        <v>2000</v>
      </c>
      <c r="D267">
        <v>0.15298999999999999</v>
      </c>
      <c r="E267">
        <v>12.60919</v>
      </c>
      <c r="F267">
        <v>7.1729999999999997E-3</v>
      </c>
      <c r="G267">
        <v>6.5070540000000001</v>
      </c>
      <c r="H267">
        <v>0.210288</v>
      </c>
      <c r="I267">
        <v>13.936918</v>
      </c>
      <c r="J267">
        <v>33.423613000000003</v>
      </c>
    </row>
    <row r="268" spans="1:10" x14ac:dyDescent="0.25">
      <c r="A268" t="s">
        <v>1</v>
      </c>
      <c r="B268" t="s">
        <v>60</v>
      </c>
      <c r="C268" s="9">
        <v>2000</v>
      </c>
      <c r="D268">
        <v>0</v>
      </c>
      <c r="E268">
        <v>0</v>
      </c>
      <c r="F268">
        <v>0</v>
      </c>
      <c r="G268">
        <v>0</v>
      </c>
      <c r="H268">
        <v>0.62605500000000003</v>
      </c>
      <c r="I268">
        <v>0</v>
      </c>
      <c r="J268">
        <v>0.62605500000000003</v>
      </c>
    </row>
    <row r="269" spans="1:10" x14ac:dyDescent="0.25">
      <c r="A269" t="s">
        <v>2</v>
      </c>
      <c r="B269" t="s">
        <v>61</v>
      </c>
      <c r="C269" s="9">
        <v>2000</v>
      </c>
      <c r="D269">
        <v>0</v>
      </c>
      <c r="E269">
        <v>0</v>
      </c>
      <c r="F269">
        <v>0</v>
      </c>
      <c r="G269">
        <v>4.9666040000000002</v>
      </c>
      <c r="H269">
        <v>4.8700000000000002E-3</v>
      </c>
      <c r="I269">
        <v>0</v>
      </c>
      <c r="J269">
        <v>4.9714739999999997</v>
      </c>
    </row>
    <row r="270" spans="1:10" x14ac:dyDescent="0.25">
      <c r="A270" t="s">
        <v>3</v>
      </c>
      <c r="B270" t="s">
        <v>39</v>
      </c>
      <c r="C270" s="9">
        <v>2000</v>
      </c>
      <c r="D270">
        <v>6.227875</v>
      </c>
      <c r="E270">
        <v>137.35737499999999</v>
      </c>
      <c r="F270">
        <v>15.445713</v>
      </c>
      <c r="G270">
        <v>40.023935000000002</v>
      </c>
      <c r="H270">
        <v>1.88</v>
      </c>
      <c r="I270">
        <v>340.24</v>
      </c>
      <c r="J270">
        <v>541.17489799999998</v>
      </c>
    </row>
    <row r="271" spans="1:10" x14ac:dyDescent="0.25">
      <c r="A271" t="s">
        <v>3</v>
      </c>
      <c r="B271" t="s">
        <v>41</v>
      </c>
      <c r="C271" s="9">
        <v>2000</v>
      </c>
      <c r="D271">
        <v>89.486869999999996</v>
      </c>
      <c r="E271">
        <v>817.96958800000004</v>
      </c>
      <c r="F271">
        <v>62.600687000000001</v>
      </c>
      <c r="G271">
        <v>1648.2985510000001</v>
      </c>
      <c r="H271">
        <v>522.22981500000003</v>
      </c>
      <c r="I271">
        <v>2588.3073810000001</v>
      </c>
      <c r="J271">
        <v>5728.8928919999998</v>
      </c>
    </row>
    <row r="272" spans="1:10" x14ac:dyDescent="0.25">
      <c r="A272" t="s">
        <v>2</v>
      </c>
      <c r="B272" t="s">
        <v>72</v>
      </c>
      <c r="C272" s="9">
        <v>2000</v>
      </c>
      <c r="D272">
        <v>0</v>
      </c>
      <c r="E272">
        <v>0</v>
      </c>
      <c r="F272">
        <v>0</v>
      </c>
      <c r="G272">
        <v>0</v>
      </c>
      <c r="H272">
        <v>0.91922999999999999</v>
      </c>
      <c r="I272">
        <v>0</v>
      </c>
      <c r="J272">
        <v>0.91922999999999999</v>
      </c>
    </row>
    <row r="273" spans="1:10" x14ac:dyDescent="0.25">
      <c r="A273" t="s">
        <v>2</v>
      </c>
      <c r="B273" t="s">
        <v>44</v>
      </c>
      <c r="C273" s="9">
        <v>2000</v>
      </c>
      <c r="D273">
        <v>0</v>
      </c>
      <c r="E273">
        <v>0</v>
      </c>
      <c r="F273">
        <v>0</v>
      </c>
      <c r="G273">
        <v>0</v>
      </c>
      <c r="H273">
        <v>18.642989</v>
      </c>
      <c r="I273">
        <v>0</v>
      </c>
      <c r="J273">
        <v>18.642989</v>
      </c>
    </row>
    <row r="274" spans="1:10" x14ac:dyDescent="0.25">
      <c r="A274" t="s">
        <v>2</v>
      </c>
      <c r="B274" t="s">
        <v>45</v>
      </c>
      <c r="C274" s="9">
        <v>2000</v>
      </c>
      <c r="D274">
        <v>0</v>
      </c>
      <c r="E274">
        <v>0</v>
      </c>
      <c r="F274">
        <v>0</v>
      </c>
      <c r="G274">
        <v>0</v>
      </c>
      <c r="H274">
        <v>3.6059779999999999</v>
      </c>
      <c r="I274">
        <v>0</v>
      </c>
      <c r="J274">
        <v>3.6059779999999999</v>
      </c>
    </row>
    <row r="275" spans="1:10" x14ac:dyDescent="0.25">
      <c r="A275" t="s">
        <v>1</v>
      </c>
      <c r="B275" t="s">
        <v>66</v>
      </c>
      <c r="C275" s="9">
        <v>2000</v>
      </c>
      <c r="D275">
        <v>0</v>
      </c>
      <c r="E275">
        <v>6.3097320000000003</v>
      </c>
      <c r="F275">
        <v>0</v>
      </c>
      <c r="G275">
        <v>6.4811459999999999</v>
      </c>
      <c r="H275">
        <v>0</v>
      </c>
      <c r="I275">
        <v>0</v>
      </c>
      <c r="J275">
        <v>12.790877999999999</v>
      </c>
    </row>
    <row r="276" spans="1:10" x14ac:dyDescent="0.25">
      <c r="A276" t="s">
        <v>2</v>
      </c>
      <c r="B276" t="s">
        <v>2</v>
      </c>
      <c r="C276" s="9">
        <v>2000</v>
      </c>
      <c r="D276">
        <v>0</v>
      </c>
      <c r="E276">
        <v>0</v>
      </c>
      <c r="F276">
        <v>0</v>
      </c>
      <c r="G276">
        <v>10.782534</v>
      </c>
      <c r="H276">
        <v>16.698941999999999</v>
      </c>
      <c r="I276">
        <v>0</v>
      </c>
      <c r="J276">
        <v>27.481476000000001</v>
      </c>
    </row>
    <row r="277" spans="1:10" x14ac:dyDescent="0.25">
      <c r="A277" t="s">
        <v>2</v>
      </c>
      <c r="B277" t="s">
        <v>48</v>
      </c>
      <c r="C277" s="9">
        <v>2000</v>
      </c>
      <c r="D277">
        <v>0</v>
      </c>
      <c r="E277">
        <v>0</v>
      </c>
      <c r="F277">
        <v>0</v>
      </c>
      <c r="G277">
        <v>2.6147399999999998</v>
      </c>
      <c r="H277">
        <v>0</v>
      </c>
      <c r="I277">
        <v>0</v>
      </c>
      <c r="J277">
        <v>2.6147399999999998</v>
      </c>
    </row>
    <row r="278" spans="1:10" x14ac:dyDescent="0.25">
      <c r="A278" t="s">
        <v>1</v>
      </c>
      <c r="B278" t="s">
        <v>7</v>
      </c>
      <c r="C278" s="9">
        <v>2001</v>
      </c>
      <c r="D278">
        <v>0</v>
      </c>
      <c r="E278">
        <v>0</v>
      </c>
      <c r="F278">
        <v>0</v>
      </c>
      <c r="G278">
        <v>0</v>
      </c>
      <c r="H278">
        <v>33.800507000000003</v>
      </c>
      <c r="I278">
        <v>0</v>
      </c>
      <c r="J278">
        <v>33.800507000000003</v>
      </c>
    </row>
    <row r="279" spans="1:10" x14ac:dyDescent="0.25">
      <c r="A279" t="s">
        <v>3</v>
      </c>
      <c r="B279" t="s">
        <v>10</v>
      </c>
      <c r="C279" s="9">
        <v>2001</v>
      </c>
      <c r="D279">
        <v>0</v>
      </c>
      <c r="E279">
        <v>5.4081409999999996</v>
      </c>
      <c r="F279">
        <v>0</v>
      </c>
      <c r="G279">
        <v>0</v>
      </c>
      <c r="H279">
        <v>0</v>
      </c>
      <c r="I279">
        <v>14.099829</v>
      </c>
      <c r="J279">
        <v>19.50797</v>
      </c>
    </row>
    <row r="280" spans="1:10" x14ac:dyDescent="0.25">
      <c r="A280" t="s">
        <v>1</v>
      </c>
      <c r="B280" t="s">
        <v>15</v>
      </c>
      <c r="C280" s="9">
        <v>2001</v>
      </c>
      <c r="D280">
        <v>0</v>
      </c>
      <c r="E280">
        <v>0</v>
      </c>
      <c r="F280">
        <v>0</v>
      </c>
      <c r="G280">
        <v>0</v>
      </c>
      <c r="H280">
        <v>409.24511100000001</v>
      </c>
      <c r="I280">
        <v>0</v>
      </c>
      <c r="J280">
        <v>409.24511100000001</v>
      </c>
    </row>
    <row r="281" spans="1:10" x14ac:dyDescent="0.25">
      <c r="A281" t="s">
        <v>4</v>
      </c>
      <c r="B281" t="s">
        <v>17</v>
      </c>
      <c r="C281" s="9">
        <v>2001</v>
      </c>
      <c r="D281">
        <v>0</v>
      </c>
      <c r="E281">
        <v>0.69292699999999996</v>
      </c>
      <c r="F281">
        <v>0</v>
      </c>
      <c r="G281">
        <v>0</v>
      </c>
      <c r="H281">
        <v>0</v>
      </c>
      <c r="I281">
        <v>1.2224980000000001</v>
      </c>
      <c r="J281">
        <v>1.9154249999999999</v>
      </c>
    </row>
    <row r="282" spans="1:10" x14ac:dyDescent="0.25">
      <c r="A282" t="s">
        <v>1</v>
      </c>
      <c r="B282" t="s">
        <v>53</v>
      </c>
      <c r="C282" s="9">
        <v>2001</v>
      </c>
      <c r="D282">
        <v>0</v>
      </c>
      <c r="E282">
        <v>0</v>
      </c>
      <c r="F282">
        <v>0</v>
      </c>
      <c r="G282">
        <v>0</v>
      </c>
      <c r="H282">
        <v>8.9839000000000002E-2</v>
      </c>
      <c r="I282">
        <v>0</v>
      </c>
      <c r="J282">
        <v>8.9839000000000002E-2</v>
      </c>
    </row>
    <row r="283" spans="1:10" x14ac:dyDescent="0.25">
      <c r="A283" t="s">
        <v>4</v>
      </c>
      <c r="B283" t="s">
        <v>26</v>
      </c>
      <c r="C283" s="9">
        <v>2001</v>
      </c>
      <c r="D283">
        <v>0.18770700000000001</v>
      </c>
      <c r="E283">
        <v>40.927024000000003</v>
      </c>
      <c r="F283">
        <v>1.23159</v>
      </c>
      <c r="G283">
        <v>54.606619999999999</v>
      </c>
      <c r="H283">
        <v>0.46935900000000003</v>
      </c>
      <c r="I283">
        <v>50.196362000000001</v>
      </c>
      <c r="J283">
        <v>147.618662</v>
      </c>
    </row>
    <row r="284" spans="1:10" x14ac:dyDescent="0.25">
      <c r="A284" t="s">
        <v>3</v>
      </c>
      <c r="B284" t="s">
        <v>34</v>
      </c>
      <c r="C284" s="9">
        <v>2001</v>
      </c>
      <c r="D284">
        <v>54.764539999999997</v>
      </c>
      <c r="E284">
        <v>748.75499500000001</v>
      </c>
      <c r="F284">
        <v>58.155053000000002</v>
      </c>
      <c r="G284">
        <v>1752.114975</v>
      </c>
      <c r="H284">
        <v>34.362130000000001</v>
      </c>
      <c r="I284">
        <v>1951.741438</v>
      </c>
      <c r="J284">
        <v>4599.8931309999998</v>
      </c>
    </row>
    <row r="285" spans="1:10" x14ac:dyDescent="0.25">
      <c r="A285" t="s">
        <v>4</v>
      </c>
      <c r="B285" t="s">
        <v>35</v>
      </c>
      <c r="C285" s="9">
        <v>2001</v>
      </c>
      <c r="D285">
        <v>0.162269</v>
      </c>
      <c r="E285">
        <v>10.793005000000001</v>
      </c>
      <c r="F285">
        <v>6.4373E-2</v>
      </c>
      <c r="G285">
        <v>11.801572999999999</v>
      </c>
      <c r="H285">
        <v>0.17832600000000001</v>
      </c>
      <c r="I285">
        <v>12.060269</v>
      </c>
      <c r="J285">
        <v>35.059815</v>
      </c>
    </row>
    <row r="286" spans="1:10" x14ac:dyDescent="0.25">
      <c r="A286" t="s">
        <v>1</v>
      </c>
      <c r="B286" t="s">
        <v>60</v>
      </c>
      <c r="C286" s="9">
        <v>2001</v>
      </c>
      <c r="D286">
        <v>0</v>
      </c>
      <c r="E286">
        <v>0</v>
      </c>
      <c r="F286">
        <v>22.53603</v>
      </c>
      <c r="G286">
        <v>0</v>
      </c>
      <c r="H286">
        <v>0</v>
      </c>
      <c r="I286">
        <v>0</v>
      </c>
      <c r="J286">
        <v>22.53603</v>
      </c>
    </row>
    <row r="287" spans="1:10" x14ac:dyDescent="0.25">
      <c r="A287" t="s">
        <v>2</v>
      </c>
      <c r="B287" t="s">
        <v>61</v>
      </c>
      <c r="C287" s="9">
        <v>2001</v>
      </c>
      <c r="D287">
        <v>0</v>
      </c>
      <c r="E287">
        <v>0</v>
      </c>
      <c r="F287">
        <v>0</v>
      </c>
      <c r="G287">
        <v>26.562923999999999</v>
      </c>
      <c r="H287">
        <v>0</v>
      </c>
      <c r="I287">
        <v>0</v>
      </c>
      <c r="J287">
        <v>26.562923999999999</v>
      </c>
    </row>
    <row r="288" spans="1:10" x14ac:dyDescent="0.25">
      <c r="A288" t="s">
        <v>3</v>
      </c>
      <c r="B288" t="s">
        <v>39</v>
      </c>
      <c r="C288" s="9">
        <v>2001</v>
      </c>
      <c r="D288">
        <v>7.5819349999999996</v>
      </c>
      <c r="E288">
        <v>146.943196</v>
      </c>
      <c r="F288">
        <v>19.551157</v>
      </c>
      <c r="G288">
        <v>38.499741</v>
      </c>
      <c r="H288">
        <v>2.2569149999999998</v>
      </c>
      <c r="I288">
        <v>358.45147800000001</v>
      </c>
      <c r="J288">
        <v>573.28442199999995</v>
      </c>
    </row>
    <row r="289" spans="1:10" x14ac:dyDescent="0.25">
      <c r="A289" t="s">
        <v>3</v>
      </c>
      <c r="B289" t="s">
        <v>41</v>
      </c>
      <c r="C289" s="9">
        <v>2001</v>
      </c>
      <c r="D289">
        <v>73.940460999999999</v>
      </c>
      <c r="E289">
        <v>836.105907</v>
      </c>
      <c r="F289">
        <v>63.712440999999998</v>
      </c>
      <c r="G289">
        <v>1450.4360019999999</v>
      </c>
      <c r="H289">
        <v>359.74299000000002</v>
      </c>
      <c r="I289">
        <v>2657.1658710000002</v>
      </c>
      <c r="J289">
        <v>5441.1036720000002</v>
      </c>
    </row>
    <row r="290" spans="1:10" x14ac:dyDescent="0.25">
      <c r="A290" t="s">
        <v>2</v>
      </c>
      <c r="B290" t="s">
        <v>42</v>
      </c>
      <c r="C290" s="9">
        <v>2001</v>
      </c>
      <c r="D290">
        <v>0</v>
      </c>
      <c r="E290">
        <v>0</v>
      </c>
      <c r="F290">
        <v>0</v>
      </c>
      <c r="G290">
        <v>0</v>
      </c>
      <c r="H290">
        <v>264.62496700000003</v>
      </c>
      <c r="I290">
        <v>0</v>
      </c>
      <c r="J290">
        <v>264.62496700000003</v>
      </c>
    </row>
    <row r="291" spans="1:10" x14ac:dyDescent="0.25">
      <c r="A291" t="s">
        <v>1</v>
      </c>
      <c r="B291" t="s">
        <v>66</v>
      </c>
      <c r="C291" s="9">
        <v>2001</v>
      </c>
      <c r="D291">
        <v>0</v>
      </c>
      <c r="E291">
        <v>0</v>
      </c>
      <c r="F291">
        <v>0</v>
      </c>
      <c r="G291">
        <v>0</v>
      </c>
      <c r="H291">
        <v>1.0565979999999999</v>
      </c>
      <c r="I291">
        <v>0</v>
      </c>
      <c r="J291">
        <v>1.0565979999999999</v>
      </c>
    </row>
    <row r="292" spans="1:10" x14ac:dyDescent="0.25">
      <c r="A292" t="s">
        <v>2</v>
      </c>
      <c r="B292" t="s">
        <v>48</v>
      </c>
      <c r="C292" s="9">
        <v>2001</v>
      </c>
      <c r="D292">
        <v>0</v>
      </c>
      <c r="E292">
        <v>0</v>
      </c>
      <c r="F292">
        <v>0.40006599999999998</v>
      </c>
      <c r="G292">
        <v>0</v>
      </c>
      <c r="H292">
        <v>0</v>
      </c>
      <c r="I292">
        <v>0</v>
      </c>
      <c r="J292">
        <v>0.40006599999999998</v>
      </c>
    </row>
    <row r="293" spans="1:10" x14ac:dyDescent="0.25">
      <c r="A293" t="s">
        <v>1</v>
      </c>
      <c r="B293" t="s">
        <v>7</v>
      </c>
      <c r="C293" s="9">
        <v>2002</v>
      </c>
      <c r="D293">
        <v>0</v>
      </c>
      <c r="E293">
        <v>0</v>
      </c>
      <c r="F293">
        <v>0</v>
      </c>
      <c r="G293">
        <v>0</v>
      </c>
      <c r="H293">
        <v>32.652881999999998</v>
      </c>
      <c r="I293">
        <v>0</v>
      </c>
      <c r="J293">
        <v>32.652881999999998</v>
      </c>
    </row>
    <row r="294" spans="1:10" x14ac:dyDescent="0.25">
      <c r="A294" t="s">
        <v>3</v>
      </c>
      <c r="B294" t="s">
        <v>10</v>
      </c>
      <c r="C294" s="9">
        <v>2002</v>
      </c>
      <c r="D294">
        <v>0</v>
      </c>
      <c r="E294">
        <v>4.9693529999999999</v>
      </c>
      <c r="F294">
        <v>0</v>
      </c>
      <c r="G294">
        <v>0</v>
      </c>
      <c r="H294">
        <v>0</v>
      </c>
      <c r="I294">
        <v>14.522613</v>
      </c>
      <c r="J294">
        <v>19.491966000000001</v>
      </c>
    </row>
    <row r="295" spans="1:10" x14ac:dyDescent="0.25">
      <c r="A295" t="s">
        <v>2</v>
      </c>
      <c r="B295" t="s">
        <v>69</v>
      </c>
      <c r="C295" s="9">
        <v>2002</v>
      </c>
      <c r="D295">
        <v>0</v>
      </c>
      <c r="E295">
        <v>0</v>
      </c>
      <c r="F295">
        <v>0</v>
      </c>
      <c r="G295">
        <v>0</v>
      </c>
      <c r="H295">
        <v>0</v>
      </c>
      <c r="I295">
        <v>3.7594000000000002E-2</v>
      </c>
      <c r="J295">
        <v>3.7594000000000002E-2</v>
      </c>
    </row>
    <row r="296" spans="1:10" x14ac:dyDescent="0.25">
      <c r="A296" t="s">
        <v>1</v>
      </c>
      <c r="B296" t="s">
        <v>15</v>
      </c>
      <c r="C296" s="9">
        <v>2002</v>
      </c>
      <c r="D296">
        <v>0</v>
      </c>
      <c r="E296">
        <v>0</v>
      </c>
      <c r="F296">
        <v>0</v>
      </c>
      <c r="G296">
        <v>0</v>
      </c>
      <c r="H296">
        <v>47.719771999999999</v>
      </c>
      <c r="I296">
        <v>0</v>
      </c>
      <c r="J296">
        <v>47.719771999999999</v>
      </c>
    </row>
    <row r="297" spans="1:10" x14ac:dyDescent="0.25">
      <c r="A297" t="s">
        <v>4</v>
      </c>
      <c r="B297" t="s">
        <v>17</v>
      </c>
      <c r="C297" s="9">
        <v>2002</v>
      </c>
      <c r="D297">
        <v>0</v>
      </c>
      <c r="E297">
        <v>0.93590099999999998</v>
      </c>
      <c r="F297">
        <v>0</v>
      </c>
      <c r="G297">
        <v>0</v>
      </c>
      <c r="H297">
        <v>0</v>
      </c>
      <c r="I297">
        <v>0.91491699999999998</v>
      </c>
      <c r="J297">
        <v>1.8508180000000001</v>
      </c>
    </row>
    <row r="298" spans="1:10" x14ac:dyDescent="0.25">
      <c r="A298" t="s">
        <v>1</v>
      </c>
      <c r="B298" t="s">
        <v>53</v>
      </c>
      <c r="C298" s="9">
        <v>2002</v>
      </c>
      <c r="D298">
        <v>0</v>
      </c>
      <c r="E298">
        <v>0</v>
      </c>
      <c r="F298">
        <v>0</v>
      </c>
      <c r="G298">
        <v>0</v>
      </c>
      <c r="H298">
        <v>0.10552300000000001</v>
      </c>
      <c r="I298">
        <v>0</v>
      </c>
      <c r="J298">
        <v>0.10552300000000001</v>
      </c>
    </row>
    <row r="299" spans="1:10" x14ac:dyDescent="0.25">
      <c r="A299" t="s">
        <v>4</v>
      </c>
      <c r="B299" t="s">
        <v>26</v>
      </c>
      <c r="C299" s="9">
        <v>2002</v>
      </c>
      <c r="D299">
        <v>0.226965</v>
      </c>
      <c r="E299">
        <v>47.124713</v>
      </c>
      <c r="F299">
        <v>1.079866</v>
      </c>
      <c r="G299">
        <v>62.184364000000002</v>
      </c>
      <c r="H299">
        <v>0.43256499999999998</v>
      </c>
      <c r="I299">
        <v>49.524549</v>
      </c>
      <c r="J299">
        <v>160.57302200000001</v>
      </c>
    </row>
    <row r="300" spans="1:10" x14ac:dyDescent="0.25">
      <c r="A300" t="s">
        <v>3</v>
      </c>
      <c r="B300" t="s">
        <v>34</v>
      </c>
      <c r="C300" s="9">
        <v>2002</v>
      </c>
      <c r="D300">
        <v>53.913294999999998</v>
      </c>
      <c r="E300">
        <v>835.25343199999998</v>
      </c>
      <c r="F300">
        <v>32.418103000000002</v>
      </c>
      <c r="G300">
        <v>1376.9913369999999</v>
      </c>
      <c r="H300">
        <v>14.862508999999999</v>
      </c>
      <c r="I300">
        <v>2067.9825470000001</v>
      </c>
      <c r="J300">
        <v>4381.4212230000003</v>
      </c>
    </row>
    <row r="301" spans="1:10" x14ac:dyDescent="0.25">
      <c r="A301" t="s">
        <v>4</v>
      </c>
      <c r="B301" t="s">
        <v>35</v>
      </c>
      <c r="C301" s="9">
        <v>2002</v>
      </c>
      <c r="D301">
        <v>0.27535799999999999</v>
      </c>
      <c r="E301">
        <v>11.880058</v>
      </c>
      <c r="F301">
        <v>3.3061E-2</v>
      </c>
      <c r="G301">
        <v>10.693863</v>
      </c>
      <c r="H301">
        <v>0.26096799999999998</v>
      </c>
      <c r="I301">
        <v>10.191257</v>
      </c>
      <c r="J301">
        <v>33.334564999999998</v>
      </c>
    </row>
    <row r="302" spans="1:10" x14ac:dyDescent="0.25">
      <c r="A302" t="s">
        <v>3</v>
      </c>
      <c r="B302" t="s">
        <v>39</v>
      </c>
      <c r="C302" s="9">
        <v>2002</v>
      </c>
      <c r="D302">
        <v>8.5107060000000008</v>
      </c>
      <c r="E302">
        <v>151.44607099999999</v>
      </c>
      <c r="F302">
        <v>16.668415</v>
      </c>
      <c r="G302">
        <v>40.292065000000001</v>
      </c>
      <c r="H302">
        <v>2.5797340000000002</v>
      </c>
      <c r="I302">
        <v>357.085936</v>
      </c>
      <c r="J302">
        <v>576.58292700000004</v>
      </c>
    </row>
    <row r="303" spans="1:10" x14ac:dyDescent="0.25">
      <c r="A303" t="s">
        <v>3</v>
      </c>
      <c r="B303" t="s">
        <v>41</v>
      </c>
      <c r="C303" s="9">
        <v>2002</v>
      </c>
      <c r="D303">
        <v>83.996285</v>
      </c>
      <c r="E303">
        <v>848.65994499999999</v>
      </c>
      <c r="F303">
        <v>93.813902999999996</v>
      </c>
      <c r="G303">
        <v>1557.837411</v>
      </c>
      <c r="H303">
        <v>485.45705099999998</v>
      </c>
      <c r="I303">
        <v>2623.3348120000001</v>
      </c>
      <c r="J303">
        <v>5693.0994069999997</v>
      </c>
    </row>
    <row r="304" spans="1:10" x14ac:dyDescent="0.25">
      <c r="A304" t="s">
        <v>2</v>
      </c>
      <c r="B304" t="s">
        <v>42</v>
      </c>
      <c r="C304" s="9">
        <v>2002</v>
      </c>
      <c r="D304">
        <v>0</v>
      </c>
      <c r="E304">
        <v>0</v>
      </c>
      <c r="F304">
        <v>0</v>
      </c>
      <c r="G304">
        <v>0</v>
      </c>
      <c r="H304">
        <v>262.230706</v>
      </c>
      <c r="I304">
        <v>0</v>
      </c>
      <c r="J304">
        <v>262.230706</v>
      </c>
    </row>
    <row r="305" spans="1:10" x14ac:dyDescent="0.25">
      <c r="A305" t="s">
        <v>1</v>
      </c>
      <c r="B305" t="s">
        <v>66</v>
      </c>
      <c r="C305" s="9">
        <v>2002</v>
      </c>
      <c r="D305">
        <v>0</v>
      </c>
      <c r="E305">
        <v>0</v>
      </c>
      <c r="F305">
        <v>0</v>
      </c>
      <c r="G305">
        <v>0</v>
      </c>
      <c r="H305">
        <v>0.59335099999999996</v>
      </c>
      <c r="I305">
        <v>0</v>
      </c>
      <c r="J305">
        <v>0.59335099999999996</v>
      </c>
    </row>
    <row r="306" spans="1:10" x14ac:dyDescent="0.25">
      <c r="A306" t="s">
        <v>1</v>
      </c>
      <c r="B306" t="s">
        <v>7</v>
      </c>
      <c r="C306" s="9">
        <v>2003</v>
      </c>
      <c r="D306">
        <v>0</v>
      </c>
      <c r="E306">
        <v>0</v>
      </c>
      <c r="F306">
        <v>0</v>
      </c>
      <c r="G306">
        <v>0</v>
      </c>
      <c r="H306">
        <v>27.919937000000001</v>
      </c>
      <c r="I306">
        <v>0</v>
      </c>
      <c r="J306">
        <v>27.919937000000001</v>
      </c>
    </row>
    <row r="307" spans="1:10" x14ac:dyDescent="0.25">
      <c r="A307" t="s">
        <v>3</v>
      </c>
      <c r="B307" t="s">
        <v>10</v>
      </c>
      <c r="C307" s="9">
        <v>2003</v>
      </c>
      <c r="D307">
        <v>0</v>
      </c>
      <c r="E307">
        <v>2.5675330000000001</v>
      </c>
      <c r="F307">
        <v>0</v>
      </c>
      <c r="G307">
        <v>0</v>
      </c>
      <c r="H307">
        <v>0</v>
      </c>
      <c r="I307">
        <v>14.505796</v>
      </c>
      <c r="J307">
        <v>17.073329000000001</v>
      </c>
    </row>
    <row r="308" spans="1:10" x14ac:dyDescent="0.25">
      <c r="A308" t="s">
        <v>1</v>
      </c>
      <c r="B308" t="s">
        <v>15</v>
      </c>
      <c r="C308" s="9">
        <v>2003</v>
      </c>
      <c r="D308">
        <v>0</v>
      </c>
      <c r="E308">
        <v>0</v>
      </c>
      <c r="F308">
        <v>0</v>
      </c>
      <c r="G308">
        <v>0</v>
      </c>
      <c r="H308">
        <v>45.476126000000001</v>
      </c>
      <c r="I308">
        <v>0</v>
      </c>
      <c r="J308">
        <v>45.476126000000001</v>
      </c>
    </row>
    <row r="309" spans="1:10" x14ac:dyDescent="0.25">
      <c r="A309" t="s">
        <v>4</v>
      </c>
      <c r="B309" t="s">
        <v>17</v>
      </c>
      <c r="C309" s="9">
        <v>2003</v>
      </c>
      <c r="D309">
        <v>0</v>
      </c>
      <c r="E309">
        <v>0.99001499999999998</v>
      </c>
      <c r="F309">
        <v>0</v>
      </c>
      <c r="G309">
        <v>0</v>
      </c>
      <c r="H309">
        <v>0</v>
      </c>
      <c r="I309">
        <v>1.281979</v>
      </c>
      <c r="J309">
        <v>2.2719939999999998</v>
      </c>
    </row>
    <row r="310" spans="1:10" x14ac:dyDescent="0.25">
      <c r="A310" t="s">
        <v>1</v>
      </c>
      <c r="B310" t="s">
        <v>53</v>
      </c>
      <c r="C310" s="9">
        <v>2003</v>
      </c>
      <c r="D310">
        <v>0</v>
      </c>
      <c r="E310">
        <v>0</v>
      </c>
      <c r="F310">
        <v>0</v>
      </c>
      <c r="G310">
        <v>0</v>
      </c>
      <c r="H310">
        <v>7.1651999999999993E-2</v>
      </c>
      <c r="I310">
        <v>0</v>
      </c>
      <c r="J310">
        <v>7.1651999999999993E-2</v>
      </c>
    </row>
    <row r="311" spans="1:10" x14ac:dyDescent="0.25">
      <c r="A311" t="s">
        <v>4</v>
      </c>
      <c r="B311" t="s">
        <v>26</v>
      </c>
      <c r="C311" s="9">
        <v>2003</v>
      </c>
      <c r="D311">
        <v>6.6467999999999999E-2</v>
      </c>
      <c r="E311">
        <v>37.595882000000003</v>
      </c>
      <c r="F311">
        <v>3.6045940000000001</v>
      </c>
      <c r="G311">
        <v>51.585540000000002</v>
      </c>
      <c r="H311">
        <v>0.64268499999999995</v>
      </c>
      <c r="I311">
        <v>46.986257000000002</v>
      </c>
      <c r="J311">
        <v>140.481426</v>
      </c>
    </row>
    <row r="312" spans="1:10" x14ac:dyDescent="0.25">
      <c r="A312" t="s">
        <v>3</v>
      </c>
      <c r="B312" t="s">
        <v>34</v>
      </c>
      <c r="C312" s="9">
        <v>2003</v>
      </c>
      <c r="D312">
        <v>72.489468000000002</v>
      </c>
      <c r="E312">
        <v>864.16431</v>
      </c>
      <c r="F312">
        <v>44.919280000000001</v>
      </c>
      <c r="G312">
        <v>1436.9113199999999</v>
      </c>
      <c r="H312">
        <v>14.690499000000001</v>
      </c>
      <c r="I312">
        <v>2027.231638</v>
      </c>
      <c r="J312">
        <v>4460.4065149999997</v>
      </c>
    </row>
    <row r="313" spans="1:10" x14ac:dyDescent="0.25">
      <c r="A313" t="s">
        <v>4</v>
      </c>
      <c r="B313" t="s">
        <v>35</v>
      </c>
      <c r="C313" s="9">
        <v>2003</v>
      </c>
      <c r="D313">
        <v>0.38286599999999998</v>
      </c>
      <c r="E313">
        <v>13.292821</v>
      </c>
      <c r="F313">
        <v>9.3577999999999995E-2</v>
      </c>
      <c r="G313">
        <v>10.149319</v>
      </c>
      <c r="H313">
        <v>0.17255699999999999</v>
      </c>
      <c r="I313">
        <v>15.690581</v>
      </c>
      <c r="J313">
        <v>39.781722000000002</v>
      </c>
    </row>
    <row r="314" spans="1:10" x14ac:dyDescent="0.25">
      <c r="A314" t="s">
        <v>3</v>
      </c>
      <c r="B314" t="s">
        <v>39</v>
      </c>
      <c r="C314" s="9">
        <v>2003</v>
      </c>
      <c r="D314">
        <v>6.9860699999999998</v>
      </c>
      <c r="E314">
        <v>158.469537</v>
      </c>
      <c r="F314">
        <v>22.70543</v>
      </c>
      <c r="G314">
        <v>34.552888000000003</v>
      </c>
      <c r="H314">
        <v>2.6400480000000002</v>
      </c>
      <c r="I314">
        <v>339.75816900000001</v>
      </c>
      <c r="J314">
        <v>565.11214199999995</v>
      </c>
    </row>
    <row r="315" spans="1:10" x14ac:dyDescent="0.25">
      <c r="A315" t="s">
        <v>3</v>
      </c>
      <c r="B315" t="s">
        <v>41</v>
      </c>
      <c r="C315" s="9">
        <v>2003</v>
      </c>
      <c r="D315">
        <v>99.005668</v>
      </c>
      <c r="E315">
        <v>870.78807300000005</v>
      </c>
      <c r="F315">
        <v>73.544270999999995</v>
      </c>
      <c r="G315">
        <v>1436.8979870000001</v>
      </c>
      <c r="H315">
        <v>483.98540400000002</v>
      </c>
      <c r="I315">
        <v>2466.9313809999999</v>
      </c>
      <c r="J315">
        <v>5431.1527839999999</v>
      </c>
    </row>
    <row r="316" spans="1:10" x14ac:dyDescent="0.25">
      <c r="A316" t="s">
        <v>1</v>
      </c>
      <c r="B316" t="s">
        <v>66</v>
      </c>
      <c r="C316" s="9">
        <v>2003</v>
      </c>
      <c r="D316">
        <v>0</v>
      </c>
      <c r="E316">
        <v>0</v>
      </c>
      <c r="F316">
        <v>0</v>
      </c>
      <c r="G316">
        <v>0</v>
      </c>
      <c r="H316">
        <v>0.93148399999999998</v>
      </c>
      <c r="I316">
        <v>0</v>
      </c>
      <c r="J316">
        <v>0.93148399999999998</v>
      </c>
    </row>
    <row r="317" spans="1:10" x14ac:dyDescent="0.25">
      <c r="A317" t="s">
        <v>1</v>
      </c>
      <c r="B317" t="s">
        <v>7</v>
      </c>
      <c r="C317" s="9">
        <v>2004</v>
      </c>
      <c r="D317">
        <v>0</v>
      </c>
      <c r="E317">
        <v>0</v>
      </c>
      <c r="F317">
        <v>0</v>
      </c>
      <c r="G317">
        <v>0</v>
      </c>
      <c r="H317">
        <v>28.272839999999999</v>
      </c>
      <c r="I317">
        <v>0</v>
      </c>
      <c r="J317">
        <v>28.272839999999999</v>
      </c>
    </row>
    <row r="318" spans="1:10" x14ac:dyDescent="0.25">
      <c r="A318" t="s">
        <v>3</v>
      </c>
      <c r="B318" t="s">
        <v>10</v>
      </c>
      <c r="C318" s="9">
        <v>2004</v>
      </c>
      <c r="D318">
        <v>0</v>
      </c>
      <c r="E318">
        <v>1.1059779999999999</v>
      </c>
      <c r="F318">
        <v>0</v>
      </c>
      <c r="G318">
        <v>0</v>
      </c>
      <c r="H318">
        <v>0</v>
      </c>
      <c r="I318">
        <v>14.977843</v>
      </c>
      <c r="J318">
        <v>16.083821</v>
      </c>
    </row>
    <row r="319" spans="1:10" x14ac:dyDescent="0.25">
      <c r="A319" t="s">
        <v>1</v>
      </c>
      <c r="B319" t="s">
        <v>12</v>
      </c>
      <c r="C319" s="9">
        <v>2004</v>
      </c>
      <c r="D319">
        <v>0</v>
      </c>
      <c r="E319">
        <v>0</v>
      </c>
      <c r="F319">
        <v>0</v>
      </c>
      <c r="G319">
        <v>0</v>
      </c>
      <c r="H319">
        <v>69.452078</v>
      </c>
      <c r="I319">
        <v>0</v>
      </c>
      <c r="J319">
        <v>69.452078</v>
      </c>
    </row>
    <row r="320" spans="1:10" x14ac:dyDescent="0.25">
      <c r="A320" t="s">
        <v>1</v>
      </c>
      <c r="B320" t="s">
        <v>15</v>
      </c>
      <c r="C320" s="9">
        <v>2004</v>
      </c>
      <c r="D320">
        <v>0</v>
      </c>
      <c r="E320">
        <v>0</v>
      </c>
      <c r="F320">
        <v>0</v>
      </c>
      <c r="G320">
        <v>0</v>
      </c>
      <c r="H320">
        <v>26.212456</v>
      </c>
      <c r="I320">
        <v>0</v>
      </c>
      <c r="J320">
        <v>26.212456</v>
      </c>
    </row>
    <row r="321" spans="1:10" x14ac:dyDescent="0.25">
      <c r="A321" t="s">
        <v>4</v>
      </c>
      <c r="B321" t="s">
        <v>17</v>
      </c>
      <c r="C321" s="9">
        <v>2004</v>
      </c>
      <c r="D321">
        <v>0</v>
      </c>
      <c r="E321">
        <v>0.75518300000000005</v>
      </c>
      <c r="F321">
        <v>0</v>
      </c>
      <c r="G321">
        <v>0</v>
      </c>
      <c r="H321">
        <v>0</v>
      </c>
      <c r="I321">
        <v>1.4097440000000001</v>
      </c>
      <c r="J321">
        <v>2.164927</v>
      </c>
    </row>
    <row r="322" spans="1:10" x14ac:dyDescent="0.25">
      <c r="A322" t="s">
        <v>1</v>
      </c>
      <c r="B322" t="s">
        <v>53</v>
      </c>
      <c r="C322" s="9">
        <v>2004</v>
      </c>
      <c r="D322">
        <v>0</v>
      </c>
      <c r="E322">
        <v>0</v>
      </c>
      <c r="F322">
        <v>0</v>
      </c>
      <c r="G322">
        <v>0</v>
      </c>
      <c r="H322">
        <v>12.021376</v>
      </c>
      <c r="I322">
        <v>0</v>
      </c>
      <c r="J322">
        <v>12.021376</v>
      </c>
    </row>
    <row r="323" spans="1:10" x14ac:dyDescent="0.25">
      <c r="A323" t="s">
        <v>4</v>
      </c>
      <c r="B323" t="s">
        <v>26</v>
      </c>
      <c r="C323" s="9">
        <v>2004</v>
      </c>
      <c r="D323">
        <v>8.2653000000000004E-2</v>
      </c>
      <c r="E323">
        <v>36.425345999999998</v>
      </c>
      <c r="F323">
        <v>2.529979</v>
      </c>
      <c r="G323">
        <v>38.546008</v>
      </c>
      <c r="H323">
        <v>0.46798200000000001</v>
      </c>
      <c r="I323">
        <v>48.295430000000003</v>
      </c>
      <c r="J323">
        <v>126.347398</v>
      </c>
    </row>
    <row r="324" spans="1:10" x14ac:dyDescent="0.25">
      <c r="A324" t="s">
        <v>3</v>
      </c>
      <c r="B324" t="s">
        <v>34</v>
      </c>
      <c r="C324" s="9">
        <v>2004</v>
      </c>
      <c r="D324">
        <v>64.776273000000003</v>
      </c>
      <c r="E324">
        <v>938.02010800000005</v>
      </c>
      <c r="F324">
        <v>60.572608000000002</v>
      </c>
      <c r="G324">
        <v>2001.197991</v>
      </c>
      <c r="H324">
        <v>45.505395</v>
      </c>
      <c r="I324">
        <v>2056.1573119999998</v>
      </c>
      <c r="J324">
        <v>5166.229687</v>
      </c>
    </row>
    <row r="325" spans="1:10" x14ac:dyDescent="0.25">
      <c r="A325" t="s">
        <v>4</v>
      </c>
      <c r="B325" t="s">
        <v>35</v>
      </c>
      <c r="C325" s="9">
        <v>2004</v>
      </c>
      <c r="D325">
        <v>0.29694300000000001</v>
      </c>
      <c r="E325">
        <v>12.422157</v>
      </c>
      <c r="F325">
        <v>0.14283999999999999</v>
      </c>
      <c r="G325">
        <v>7.1742039999999996</v>
      </c>
      <c r="H325">
        <v>0.63255799999999995</v>
      </c>
      <c r="I325">
        <v>13.592846</v>
      </c>
      <c r="J325">
        <v>34.261547999999998</v>
      </c>
    </row>
    <row r="326" spans="1:10" x14ac:dyDescent="0.25">
      <c r="A326" t="s">
        <v>3</v>
      </c>
      <c r="B326" t="s">
        <v>39</v>
      </c>
      <c r="C326" s="9">
        <v>2004</v>
      </c>
      <c r="D326">
        <v>6.4796690000000003</v>
      </c>
      <c r="E326">
        <v>159.938061</v>
      </c>
      <c r="F326">
        <v>20.46913</v>
      </c>
      <c r="G326">
        <v>32.595644999999998</v>
      </c>
      <c r="H326">
        <v>5.280627</v>
      </c>
      <c r="I326">
        <v>357.52929499999999</v>
      </c>
      <c r="J326">
        <v>582.29242699999998</v>
      </c>
    </row>
    <row r="327" spans="1:10" x14ac:dyDescent="0.25">
      <c r="A327" t="s">
        <v>3</v>
      </c>
      <c r="B327" t="s">
        <v>41</v>
      </c>
      <c r="C327" s="9">
        <v>2004</v>
      </c>
      <c r="D327">
        <v>101.360961</v>
      </c>
      <c r="E327">
        <v>929.08929699999999</v>
      </c>
      <c r="F327">
        <v>73.683620000000005</v>
      </c>
      <c r="G327">
        <v>1461.1715730000001</v>
      </c>
      <c r="H327">
        <v>413.486558</v>
      </c>
      <c r="I327">
        <v>2616.039565</v>
      </c>
      <c r="J327">
        <v>5594.8315739999998</v>
      </c>
    </row>
    <row r="328" spans="1:10" x14ac:dyDescent="0.25">
      <c r="A328" t="s">
        <v>1</v>
      </c>
      <c r="B328" t="s">
        <v>66</v>
      </c>
      <c r="C328" s="9">
        <v>2004</v>
      </c>
      <c r="D328">
        <v>0</v>
      </c>
      <c r="E328">
        <v>0</v>
      </c>
      <c r="F328">
        <v>0</v>
      </c>
      <c r="G328">
        <v>0</v>
      </c>
      <c r="H328">
        <v>1.312376</v>
      </c>
      <c r="I328">
        <v>0</v>
      </c>
      <c r="J328">
        <v>1.312376</v>
      </c>
    </row>
    <row r="329" spans="1:10" x14ac:dyDescent="0.25">
      <c r="A329" t="s">
        <v>1</v>
      </c>
      <c r="B329" t="s">
        <v>7</v>
      </c>
      <c r="C329" s="9">
        <v>2005</v>
      </c>
      <c r="D329">
        <v>0</v>
      </c>
      <c r="E329">
        <v>0</v>
      </c>
      <c r="F329">
        <v>0</v>
      </c>
      <c r="G329">
        <v>0</v>
      </c>
      <c r="H329">
        <v>27.005393000000002</v>
      </c>
      <c r="I329">
        <v>0</v>
      </c>
      <c r="J329">
        <v>27.005393000000002</v>
      </c>
    </row>
    <row r="330" spans="1:10" x14ac:dyDescent="0.25">
      <c r="A330" t="s">
        <v>3</v>
      </c>
      <c r="B330" t="s">
        <v>10</v>
      </c>
      <c r="C330" s="9">
        <v>2005</v>
      </c>
      <c r="D330">
        <v>0</v>
      </c>
      <c r="E330">
        <v>2.1554199999999999</v>
      </c>
      <c r="F330">
        <v>0</v>
      </c>
      <c r="G330">
        <v>0</v>
      </c>
      <c r="H330">
        <v>0</v>
      </c>
      <c r="I330">
        <v>7.841653</v>
      </c>
      <c r="J330">
        <v>9.9970730000000003</v>
      </c>
    </row>
    <row r="331" spans="1:10" x14ac:dyDescent="0.25">
      <c r="A331" t="s">
        <v>1</v>
      </c>
      <c r="B331" t="s">
        <v>12</v>
      </c>
      <c r="C331" s="9">
        <v>2005</v>
      </c>
      <c r="D331">
        <v>0</v>
      </c>
      <c r="E331">
        <v>0</v>
      </c>
      <c r="F331">
        <v>0</v>
      </c>
      <c r="G331">
        <v>0</v>
      </c>
      <c r="H331">
        <v>37.186798000000003</v>
      </c>
      <c r="I331">
        <v>0</v>
      </c>
      <c r="J331">
        <v>37.186798000000003</v>
      </c>
    </row>
    <row r="332" spans="1:10" x14ac:dyDescent="0.25">
      <c r="A332" t="s">
        <v>1</v>
      </c>
      <c r="B332" t="s">
        <v>15</v>
      </c>
      <c r="C332" s="9">
        <v>2005</v>
      </c>
      <c r="D332">
        <v>0</v>
      </c>
      <c r="E332">
        <v>0</v>
      </c>
      <c r="F332">
        <v>0</v>
      </c>
      <c r="G332">
        <v>0</v>
      </c>
      <c r="H332">
        <v>16.910796999999999</v>
      </c>
      <c r="I332">
        <v>0</v>
      </c>
      <c r="J332">
        <v>16.910796999999999</v>
      </c>
    </row>
    <row r="333" spans="1:10" x14ac:dyDescent="0.25">
      <c r="A333" t="s">
        <v>4</v>
      </c>
      <c r="B333" t="s">
        <v>17</v>
      </c>
      <c r="C333" s="9">
        <v>2005</v>
      </c>
      <c r="D333">
        <v>0</v>
      </c>
      <c r="E333">
        <v>1.126282</v>
      </c>
      <c r="F333">
        <v>0</v>
      </c>
      <c r="G333">
        <v>0</v>
      </c>
      <c r="H333">
        <v>0</v>
      </c>
      <c r="I333">
        <v>2.5861529999999999</v>
      </c>
      <c r="J333">
        <v>3.7124350000000002</v>
      </c>
    </row>
    <row r="334" spans="1:10" x14ac:dyDescent="0.25">
      <c r="A334" t="s">
        <v>1</v>
      </c>
      <c r="B334" t="s">
        <v>53</v>
      </c>
      <c r="C334" s="9">
        <v>2005</v>
      </c>
      <c r="D334">
        <v>0</v>
      </c>
      <c r="E334">
        <v>0</v>
      </c>
      <c r="F334">
        <v>0</v>
      </c>
      <c r="G334">
        <v>0</v>
      </c>
      <c r="H334">
        <v>1.2373940000000001</v>
      </c>
      <c r="I334">
        <v>0</v>
      </c>
      <c r="J334">
        <v>1.2373940000000001</v>
      </c>
    </row>
    <row r="335" spans="1:10" x14ac:dyDescent="0.25">
      <c r="A335" t="s">
        <v>4</v>
      </c>
      <c r="B335" t="s">
        <v>26</v>
      </c>
      <c r="C335" s="9">
        <v>2005</v>
      </c>
      <c r="D335">
        <v>7.5526999999999997E-2</v>
      </c>
      <c r="E335">
        <v>36.105651999999999</v>
      </c>
      <c r="F335">
        <v>2.7190310000000002</v>
      </c>
      <c r="G335">
        <v>43.201867</v>
      </c>
      <c r="H335">
        <v>0.34934700000000002</v>
      </c>
      <c r="I335">
        <v>46.964326</v>
      </c>
      <c r="J335">
        <v>129.41575</v>
      </c>
    </row>
    <row r="336" spans="1:10" x14ac:dyDescent="0.25">
      <c r="A336" t="s">
        <v>3</v>
      </c>
      <c r="B336" t="s">
        <v>34</v>
      </c>
      <c r="C336" s="9">
        <v>2005</v>
      </c>
      <c r="D336">
        <v>40.71857</v>
      </c>
      <c r="E336">
        <v>878.86560799999995</v>
      </c>
      <c r="F336">
        <v>60.439723999999998</v>
      </c>
      <c r="G336">
        <v>1708.411648</v>
      </c>
      <c r="H336">
        <v>76.425517999999997</v>
      </c>
      <c r="I336">
        <v>1978.037595</v>
      </c>
      <c r="J336">
        <v>4742.8986629999999</v>
      </c>
    </row>
    <row r="337" spans="1:10" x14ac:dyDescent="0.25">
      <c r="A337" t="s">
        <v>4</v>
      </c>
      <c r="B337" t="s">
        <v>35</v>
      </c>
      <c r="C337" s="9">
        <v>2005</v>
      </c>
      <c r="D337">
        <v>0.238903</v>
      </c>
      <c r="E337">
        <v>10.525857999999999</v>
      </c>
      <c r="F337">
        <v>0.147231</v>
      </c>
      <c r="G337">
        <v>8.6618370000000002</v>
      </c>
      <c r="H337">
        <v>0.82498899999999997</v>
      </c>
      <c r="I337">
        <v>5.2430000000000003E-3</v>
      </c>
      <c r="J337">
        <v>20.404060999999999</v>
      </c>
    </row>
    <row r="338" spans="1:10" x14ac:dyDescent="0.25">
      <c r="A338" t="s">
        <v>3</v>
      </c>
      <c r="B338" t="s">
        <v>39</v>
      </c>
      <c r="C338" s="9">
        <v>2005</v>
      </c>
      <c r="D338">
        <v>5.2680239999999996</v>
      </c>
      <c r="E338">
        <v>158.77951999999999</v>
      </c>
      <c r="F338">
        <v>20.887146000000001</v>
      </c>
      <c r="G338">
        <v>29.463840999999999</v>
      </c>
      <c r="H338">
        <v>5.2671609999999998</v>
      </c>
      <c r="I338">
        <v>335.13476100000003</v>
      </c>
      <c r="J338">
        <v>554.80045299999995</v>
      </c>
    </row>
    <row r="339" spans="1:10" x14ac:dyDescent="0.25">
      <c r="A339" t="s">
        <v>3</v>
      </c>
      <c r="B339" t="s">
        <v>41</v>
      </c>
      <c r="C339" s="9">
        <v>2005</v>
      </c>
      <c r="D339">
        <v>84.830652999999998</v>
      </c>
      <c r="E339">
        <v>921.44074899999998</v>
      </c>
      <c r="F339">
        <v>73.874815999999996</v>
      </c>
      <c r="G339">
        <v>1454.493226</v>
      </c>
      <c r="H339">
        <v>410.34044399999999</v>
      </c>
      <c r="I339">
        <v>2434.097166</v>
      </c>
      <c r="J339">
        <v>5379.0770540000003</v>
      </c>
    </row>
    <row r="340" spans="1:10" x14ac:dyDescent="0.25">
      <c r="A340" t="s">
        <v>1</v>
      </c>
      <c r="B340" t="s">
        <v>66</v>
      </c>
      <c r="C340" s="9">
        <v>2005</v>
      </c>
      <c r="D340">
        <v>0</v>
      </c>
      <c r="E340">
        <v>0</v>
      </c>
      <c r="F340">
        <v>0</v>
      </c>
      <c r="G340">
        <v>0</v>
      </c>
      <c r="H340">
        <v>1.559264</v>
      </c>
      <c r="I340">
        <v>0</v>
      </c>
      <c r="J340">
        <v>1.559264</v>
      </c>
    </row>
    <row r="341" spans="1:10" x14ac:dyDescent="0.25">
      <c r="A341" t="s">
        <v>1</v>
      </c>
      <c r="B341" t="s">
        <v>7</v>
      </c>
      <c r="C341" s="9">
        <v>2006</v>
      </c>
      <c r="D341">
        <v>0</v>
      </c>
      <c r="E341">
        <v>0</v>
      </c>
      <c r="F341">
        <v>0</v>
      </c>
      <c r="G341">
        <v>0</v>
      </c>
      <c r="H341">
        <v>22.465</v>
      </c>
      <c r="I341">
        <v>0</v>
      </c>
      <c r="J341">
        <v>22.465</v>
      </c>
    </row>
    <row r="342" spans="1:10" x14ac:dyDescent="0.25">
      <c r="A342" t="s">
        <v>1</v>
      </c>
      <c r="B342" t="s">
        <v>12</v>
      </c>
      <c r="C342" s="9">
        <v>2006</v>
      </c>
      <c r="D342">
        <v>0</v>
      </c>
      <c r="E342">
        <v>0</v>
      </c>
      <c r="F342">
        <v>0</v>
      </c>
      <c r="G342">
        <v>0</v>
      </c>
      <c r="H342">
        <v>116.947011</v>
      </c>
      <c r="I342">
        <v>0</v>
      </c>
      <c r="J342">
        <v>116.947011</v>
      </c>
    </row>
    <row r="343" spans="1:10" x14ac:dyDescent="0.25">
      <c r="A343" t="s">
        <v>1</v>
      </c>
      <c r="B343" t="s">
        <v>15</v>
      </c>
      <c r="C343" s="9">
        <v>2006</v>
      </c>
      <c r="D343">
        <v>0</v>
      </c>
      <c r="E343">
        <v>0</v>
      </c>
      <c r="F343">
        <v>0</v>
      </c>
      <c r="G343">
        <v>0</v>
      </c>
      <c r="H343">
        <v>13.408331</v>
      </c>
      <c r="I343">
        <v>0</v>
      </c>
      <c r="J343">
        <v>13.408331</v>
      </c>
    </row>
    <row r="344" spans="1:10" x14ac:dyDescent="0.25">
      <c r="A344" t="s">
        <v>4</v>
      </c>
      <c r="B344" t="s">
        <v>17</v>
      </c>
      <c r="C344" s="9">
        <v>2006</v>
      </c>
      <c r="D344">
        <v>0</v>
      </c>
      <c r="E344">
        <v>0.923207</v>
      </c>
      <c r="F344">
        <v>0</v>
      </c>
      <c r="G344">
        <v>0</v>
      </c>
      <c r="H344">
        <v>0</v>
      </c>
      <c r="I344">
        <v>1.485066</v>
      </c>
      <c r="J344">
        <v>2.4082729999999999</v>
      </c>
    </row>
    <row r="345" spans="1:10" x14ac:dyDescent="0.25">
      <c r="A345" t="s">
        <v>1</v>
      </c>
      <c r="B345" t="s">
        <v>53</v>
      </c>
      <c r="C345" s="9">
        <v>2006</v>
      </c>
      <c r="D345">
        <v>0</v>
      </c>
      <c r="E345">
        <v>0</v>
      </c>
      <c r="F345">
        <v>0</v>
      </c>
      <c r="G345">
        <v>0</v>
      </c>
      <c r="H345">
        <v>2.2169099999999999</v>
      </c>
      <c r="I345">
        <v>0</v>
      </c>
      <c r="J345">
        <v>2.2169099999999999</v>
      </c>
    </row>
    <row r="346" spans="1:10" x14ac:dyDescent="0.25">
      <c r="A346" t="s">
        <v>4</v>
      </c>
      <c r="B346" t="s">
        <v>26</v>
      </c>
      <c r="C346" s="9">
        <v>2006</v>
      </c>
      <c r="D346">
        <v>0.158965</v>
      </c>
      <c r="E346">
        <v>50.003604000000003</v>
      </c>
      <c r="F346">
        <v>1.502939</v>
      </c>
      <c r="G346">
        <v>25.223942999999998</v>
      </c>
      <c r="H346">
        <v>0.32916299999999998</v>
      </c>
      <c r="I346">
        <v>46.118240999999998</v>
      </c>
      <c r="J346">
        <v>123.336855</v>
      </c>
    </row>
    <row r="347" spans="1:10" x14ac:dyDescent="0.25">
      <c r="A347" t="s">
        <v>3</v>
      </c>
      <c r="B347" t="s">
        <v>34</v>
      </c>
      <c r="C347" s="9">
        <v>2006</v>
      </c>
      <c r="D347">
        <v>40.868034000000002</v>
      </c>
      <c r="E347">
        <v>903.52583500000003</v>
      </c>
      <c r="F347">
        <v>57.591597</v>
      </c>
      <c r="G347">
        <v>1771.7596579999999</v>
      </c>
      <c r="H347">
        <v>27.216881999999998</v>
      </c>
      <c r="I347">
        <v>2005.1284049999999</v>
      </c>
      <c r="J347">
        <v>4806.0904110000001</v>
      </c>
    </row>
    <row r="348" spans="1:10" x14ac:dyDescent="0.25">
      <c r="A348" t="s">
        <v>4</v>
      </c>
      <c r="B348" t="s">
        <v>35</v>
      </c>
      <c r="C348" s="9">
        <v>2006</v>
      </c>
      <c r="D348">
        <v>0.12625800000000001</v>
      </c>
      <c r="E348">
        <v>13.249045000000001</v>
      </c>
      <c r="F348">
        <v>5.6961999999999999E-2</v>
      </c>
      <c r="G348">
        <v>3.4655719999999999</v>
      </c>
      <c r="H348">
        <v>0.23340900000000001</v>
      </c>
      <c r="I348">
        <v>14.015184</v>
      </c>
      <c r="J348">
        <v>31.146429999999999</v>
      </c>
    </row>
    <row r="349" spans="1:10" x14ac:dyDescent="0.25">
      <c r="A349" t="s">
        <v>3</v>
      </c>
      <c r="B349" t="s">
        <v>39</v>
      </c>
      <c r="C349" s="9">
        <v>2006</v>
      </c>
      <c r="D349">
        <v>4.896827</v>
      </c>
      <c r="E349">
        <v>153.667565</v>
      </c>
      <c r="F349">
        <v>24.987423</v>
      </c>
      <c r="G349">
        <v>30.306846</v>
      </c>
      <c r="H349">
        <v>4.8124149999999997</v>
      </c>
      <c r="I349">
        <v>345.37649199999998</v>
      </c>
      <c r="J349">
        <v>564.04756799999996</v>
      </c>
    </row>
    <row r="350" spans="1:10" x14ac:dyDescent="0.25">
      <c r="A350" t="s">
        <v>3</v>
      </c>
      <c r="B350" t="s">
        <v>41</v>
      </c>
      <c r="C350" s="9">
        <v>2006</v>
      </c>
      <c r="D350">
        <v>85.818032000000002</v>
      </c>
      <c r="E350">
        <v>898.03384000000005</v>
      </c>
      <c r="F350">
        <v>69.731311000000005</v>
      </c>
      <c r="G350">
        <v>1436.3547349999999</v>
      </c>
      <c r="H350">
        <v>449.40957600000002</v>
      </c>
      <c r="I350">
        <v>2497.8833650000001</v>
      </c>
      <c r="J350">
        <v>5437.2308590000002</v>
      </c>
    </row>
    <row r="351" spans="1:10" x14ac:dyDescent="0.25">
      <c r="A351" t="s">
        <v>1</v>
      </c>
      <c r="B351" t="s">
        <v>66</v>
      </c>
      <c r="C351" s="9">
        <v>2006</v>
      </c>
      <c r="D351">
        <v>0</v>
      </c>
      <c r="E351">
        <v>0</v>
      </c>
      <c r="F351">
        <v>0</v>
      </c>
      <c r="G351">
        <v>0</v>
      </c>
      <c r="H351">
        <v>1.5407200000000001</v>
      </c>
      <c r="I351">
        <v>0</v>
      </c>
      <c r="J351">
        <v>1.5407200000000001</v>
      </c>
    </row>
    <row r="352" spans="1:10" x14ac:dyDescent="0.25">
      <c r="A352" t="s">
        <v>1</v>
      </c>
      <c r="B352" t="s">
        <v>7</v>
      </c>
      <c r="C352" s="9">
        <v>2007</v>
      </c>
      <c r="D352">
        <v>0</v>
      </c>
      <c r="E352">
        <v>0</v>
      </c>
      <c r="F352">
        <v>0</v>
      </c>
      <c r="G352">
        <v>0</v>
      </c>
      <c r="H352">
        <v>22.465</v>
      </c>
      <c r="I352">
        <v>0</v>
      </c>
      <c r="J352">
        <v>22.465</v>
      </c>
    </row>
    <row r="353" spans="1:10" x14ac:dyDescent="0.25">
      <c r="A353" t="s">
        <v>1</v>
      </c>
      <c r="B353" t="s">
        <v>12</v>
      </c>
      <c r="C353" s="9">
        <v>2007</v>
      </c>
      <c r="D353">
        <v>0</v>
      </c>
      <c r="E353">
        <v>0</v>
      </c>
      <c r="F353">
        <v>0</v>
      </c>
      <c r="G353">
        <v>0</v>
      </c>
      <c r="H353">
        <v>104.432238</v>
      </c>
      <c r="I353">
        <v>0</v>
      </c>
      <c r="J353">
        <v>104.432238</v>
      </c>
    </row>
    <row r="354" spans="1:10" x14ac:dyDescent="0.25">
      <c r="A354" t="s">
        <v>1</v>
      </c>
      <c r="B354" t="s">
        <v>15</v>
      </c>
      <c r="C354" s="9">
        <v>2007</v>
      </c>
      <c r="D354">
        <v>0</v>
      </c>
      <c r="E354">
        <v>0</v>
      </c>
      <c r="F354">
        <v>0</v>
      </c>
      <c r="G354">
        <v>0</v>
      </c>
      <c r="H354">
        <v>10.909132</v>
      </c>
      <c r="I354">
        <v>0</v>
      </c>
      <c r="J354">
        <v>10.909132</v>
      </c>
    </row>
    <row r="355" spans="1:10" x14ac:dyDescent="0.25">
      <c r="A355" t="s">
        <v>4</v>
      </c>
      <c r="B355" t="s">
        <v>17</v>
      </c>
      <c r="C355" s="9">
        <v>2007</v>
      </c>
      <c r="D355">
        <v>0</v>
      </c>
      <c r="E355">
        <v>0.48968600000000001</v>
      </c>
      <c r="F355">
        <v>0</v>
      </c>
      <c r="G355">
        <v>0</v>
      </c>
      <c r="H355">
        <v>0</v>
      </c>
      <c r="I355">
        <v>0.91459000000000001</v>
      </c>
      <c r="J355">
        <v>1.4042760000000001</v>
      </c>
    </row>
    <row r="356" spans="1:10" x14ac:dyDescent="0.25">
      <c r="A356" t="s">
        <v>1</v>
      </c>
      <c r="B356" t="s">
        <v>53</v>
      </c>
      <c r="C356" s="9">
        <v>2007</v>
      </c>
      <c r="D356">
        <v>0</v>
      </c>
      <c r="E356">
        <v>0</v>
      </c>
      <c r="F356">
        <v>0</v>
      </c>
      <c r="G356">
        <v>0</v>
      </c>
      <c r="H356">
        <v>1.8646419999999999</v>
      </c>
      <c r="I356">
        <v>0</v>
      </c>
      <c r="J356">
        <v>1.8646419999999999</v>
      </c>
    </row>
    <row r="357" spans="1:10" x14ac:dyDescent="0.25">
      <c r="A357" t="s">
        <v>4</v>
      </c>
      <c r="B357" t="s">
        <v>26</v>
      </c>
      <c r="C357" s="9">
        <v>2007</v>
      </c>
      <c r="D357">
        <v>0.13814899999999999</v>
      </c>
      <c r="E357">
        <v>36.015270000000001</v>
      </c>
      <c r="F357">
        <v>1.579574</v>
      </c>
      <c r="G357">
        <v>24.716328000000001</v>
      </c>
      <c r="H357">
        <v>0.29752600000000001</v>
      </c>
      <c r="I357">
        <v>45.236738000000003</v>
      </c>
      <c r="J357">
        <v>107.98358500000001</v>
      </c>
    </row>
    <row r="358" spans="1:10" x14ac:dyDescent="0.25">
      <c r="A358" t="s">
        <v>3</v>
      </c>
      <c r="B358" t="s">
        <v>34</v>
      </c>
      <c r="C358" s="9">
        <v>2007</v>
      </c>
      <c r="D358">
        <v>46.064762999999999</v>
      </c>
      <c r="E358">
        <v>869.82808699999998</v>
      </c>
      <c r="F358">
        <v>48.996954000000002</v>
      </c>
      <c r="G358">
        <v>1503.1916960000001</v>
      </c>
      <c r="H358">
        <v>36.283211000000001</v>
      </c>
      <c r="I358">
        <v>2023.350451</v>
      </c>
      <c r="J358">
        <v>4527.7151620000004</v>
      </c>
    </row>
    <row r="359" spans="1:10" x14ac:dyDescent="0.25">
      <c r="A359" t="s">
        <v>4</v>
      </c>
      <c r="B359" t="s">
        <v>35</v>
      </c>
      <c r="C359" s="9">
        <v>2007</v>
      </c>
      <c r="D359">
        <v>0.124553</v>
      </c>
      <c r="E359">
        <v>13.255716</v>
      </c>
      <c r="F359">
        <v>6.7958000000000005E-2</v>
      </c>
      <c r="G359">
        <v>3.3720050000000001</v>
      </c>
      <c r="H359">
        <v>0.209727</v>
      </c>
      <c r="I359">
        <v>14.211190999999999</v>
      </c>
      <c r="J359">
        <v>31.241150000000001</v>
      </c>
    </row>
    <row r="360" spans="1:10" x14ac:dyDescent="0.25">
      <c r="A360" t="s">
        <v>3</v>
      </c>
      <c r="B360" t="s">
        <v>39</v>
      </c>
      <c r="C360" s="9">
        <v>2007</v>
      </c>
      <c r="D360">
        <v>4.4480820000000003</v>
      </c>
      <c r="E360">
        <v>155.353126</v>
      </c>
      <c r="F360">
        <v>23.66658</v>
      </c>
      <c r="G360">
        <v>27.240794999999999</v>
      </c>
      <c r="H360">
        <v>4.3970359999999999</v>
      </c>
      <c r="I360">
        <v>331.90169200000003</v>
      </c>
      <c r="J360">
        <v>547.00731099999996</v>
      </c>
    </row>
    <row r="361" spans="1:10" x14ac:dyDescent="0.25">
      <c r="A361" t="s">
        <v>3</v>
      </c>
      <c r="B361" t="s">
        <v>41</v>
      </c>
      <c r="C361" s="9">
        <v>2007</v>
      </c>
      <c r="D361">
        <v>86.176641000000004</v>
      </c>
      <c r="E361">
        <v>913.75624100000005</v>
      </c>
      <c r="F361">
        <v>104.95406699999999</v>
      </c>
      <c r="G361">
        <v>1500.1831139999999</v>
      </c>
      <c r="H361">
        <v>464.08453200000002</v>
      </c>
      <c r="I361">
        <v>2523.0350149999999</v>
      </c>
      <c r="J361">
        <v>5592.1896100000004</v>
      </c>
    </row>
    <row r="362" spans="1:10" x14ac:dyDescent="0.25">
      <c r="A362" t="s">
        <v>1</v>
      </c>
      <c r="B362" t="s">
        <v>66</v>
      </c>
      <c r="C362" s="9">
        <v>2007</v>
      </c>
      <c r="D362">
        <v>0</v>
      </c>
      <c r="E362">
        <v>0</v>
      </c>
      <c r="F362">
        <v>0</v>
      </c>
      <c r="G362">
        <v>0</v>
      </c>
      <c r="H362">
        <v>1.5407200000000001</v>
      </c>
      <c r="I362">
        <v>0</v>
      </c>
      <c r="J362">
        <v>1.5407200000000001</v>
      </c>
    </row>
    <row r="363" spans="1:10" x14ac:dyDescent="0.25">
      <c r="A363" t="s">
        <v>4</v>
      </c>
      <c r="B363" t="s">
        <v>26</v>
      </c>
      <c r="C363" s="9">
        <v>2008</v>
      </c>
      <c r="D363">
        <v>0</v>
      </c>
      <c r="E363">
        <v>25.995747999999999</v>
      </c>
      <c r="F363">
        <v>1.9770019999999999</v>
      </c>
      <c r="G363">
        <v>14.061914</v>
      </c>
      <c r="H363">
        <v>0</v>
      </c>
      <c r="I363">
        <v>53.209471000000001</v>
      </c>
      <c r="J363">
        <v>95.244135</v>
      </c>
    </row>
    <row r="364" spans="1:10" x14ac:dyDescent="0.25">
      <c r="A364" t="s">
        <v>3</v>
      </c>
      <c r="B364" t="s">
        <v>34</v>
      </c>
      <c r="C364" s="9">
        <v>2008</v>
      </c>
      <c r="D364">
        <v>43.703570999999997</v>
      </c>
      <c r="E364">
        <v>895.101632</v>
      </c>
      <c r="F364">
        <v>48.682026</v>
      </c>
      <c r="G364">
        <v>1587.636193</v>
      </c>
      <c r="H364">
        <v>44.690510000000003</v>
      </c>
      <c r="I364">
        <v>2058.1440710000002</v>
      </c>
      <c r="J364">
        <v>4677.9580029999997</v>
      </c>
    </row>
    <row r="365" spans="1:10" x14ac:dyDescent="0.25">
      <c r="A365" t="s">
        <v>4</v>
      </c>
      <c r="B365" t="s">
        <v>35</v>
      </c>
      <c r="C365" s="9">
        <v>2008</v>
      </c>
      <c r="D365">
        <v>0.12180199999999999</v>
      </c>
      <c r="E365">
        <v>13.025014000000001</v>
      </c>
      <c r="F365">
        <v>9.8853999999999997E-2</v>
      </c>
      <c r="G365">
        <v>3.1539030000000001</v>
      </c>
      <c r="H365">
        <v>0.203293</v>
      </c>
      <c r="I365">
        <v>14.909090000000001</v>
      </c>
      <c r="J365">
        <v>31.511956000000001</v>
      </c>
    </row>
    <row r="366" spans="1:10" x14ac:dyDescent="0.25">
      <c r="A366" t="s">
        <v>3</v>
      </c>
      <c r="B366" t="s">
        <v>39</v>
      </c>
      <c r="C366" s="9">
        <v>2008</v>
      </c>
      <c r="D366">
        <v>3.8563339999999999</v>
      </c>
      <c r="E366">
        <v>155.221689</v>
      </c>
      <c r="F366">
        <v>24.250212999999999</v>
      </c>
      <c r="G366">
        <v>29.010871999999999</v>
      </c>
      <c r="H366">
        <v>4.333882</v>
      </c>
      <c r="I366">
        <v>324.69276600000001</v>
      </c>
      <c r="J366">
        <v>541.36575600000003</v>
      </c>
    </row>
    <row r="367" spans="1:10" x14ac:dyDescent="0.25">
      <c r="A367" t="s">
        <v>3</v>
      </c>
      <c r="B367" t="s">
        <v>41</v>
      </c>
      <c r="C367" s="9">
        <v>2008</v>
      </c>
      <c r="D367">
        <v>82.586427999999998</v>
      </c>
      <c r="E367">
        <v>882.10654099999999</v>
      </c>
      <c r="F367">
        <v>52.121913999999997</v>
      </c>
      <c r="G367">
        <v>1548.505762</v>
      </c>
      <c r="H367">
        <v>411.09960100000001</v>
      </c>
      <c r="I367">
        <v>2480.1702260000002</v>
      </c>
      <c r="J367">
        <v>5456.5904719999999</v>
      </c>
    </row>
    <row r="368" spans="1:10" x14ac:dyDescent="0.25">
      <c r="A368" t="s">
        <v>4</v>
      </c>
      <c r="B368" t="s">
        <v>26</v>
      </c>
      <c r="C368" s="9">
        <v>2009</v>
      </c>
      <c r="D368">
        <v>0</v>
      </c>
      <c r="E368">
        <v>30.211200000000002</v>
      </c>
      <c r="F368">
        <v>1.9136770000000001</v>
      </c>
      <c r="G368">
        <v>13.223903999999999</v>
      </c>
      <c r="H368">
        <v>0</v>
      </c>
      <c r="I368">
        <v>59.350414000000001</v>
      </c>
      <c r="J368">
        <v>104.699195</v>
      </c>
    </row>
    <row r="369" spans="1:10" x14ac:dyDescent="0.25">
      <c r="A369" t="s">
        <v>3</v>
      </c>
      <c r="B369" t="s">
        <v>34</v>
      </c>
      <c r="C369" s="9">
        <v>2009</v>
      </c>
      <c r="D369">
        <v>36.754801999999998</v>
      </c>
      <c r="E369">
        <v>878.44723999999997</v>
      </c>
      <c r="F369">
        <v>46.531055000000002</v>
      </c>
      <c r="G369">
        <v>1521.8746880000001</v>
      </c>
      <c r="H369">
        <v>40.618771000000002</v>
      </c>
      <c r="I369">
        <v>2045.6349889999999</v>
      </c>
      <c r="J369">
        <v>4569.8615449999998</v>
      </c>
    </row>
    <row r="370" spans="1:10" x14ac:dyDescent="0.25">
      <c r="A370" t="s">
        <v>4</v>
      </c>
      <c r="B370" t="s">
        <v>35</v>
      </c>
      <c r="C370" s="9">
        <v>2009</v>
      </c>
      <c r="D370">
        <v>0.12958900000000001</v>
      </c>
      <c r="E370">
        <v>11.767443999999999</v>
      </c>
      <c r="F370">
        <v>0.188059</v>
      </c>
      <c r="G370">
        <v>2.7223809999999999</v>
      </c>
      <c r="H370">
        <v>0.20510100000000001</v>
      </c>
      <c r="I370">
        <v>14.185225000000001</v>
      </c>
      <c r="J370">
        <v>29.197799</v>
      </c>
    </row>
    <row r="371" spans="1:10" x14ac:dyDescent="0.25">
      <c r="A371" t="s">
        <v>3</v>
      </c>
      <c r="B371" t="s">
        <v>39</v>
      </c>
      <c r="C371" s="9">
        <v>2009</v>
      </c>
      <c r="D371">
        <v>4.1398210000000004</v>
      </c>
      <c r="E371">
        <v>149.92445499999999</v>
      </c>
      <c r="F371">
        <v>21.128579999999999</v>
      </c>
      <c r="G371">
        <v>27.533102</v>
      </c>
      <c r="H371">
        <v>3.4097230000000001</v>
      </c>
      <c r="I371">
        <v>308.73400900000001</v>
      </c>
      <c r="J371">
        <v>514.86968999999999</v>
      </c>
    </row>
    <row r="372" spans="1:10" x14ac:dyDescent="0.25">
      <c r="A372" t="s">
        <v>3</v>
      </c>
      <c r="B372" t="s">
        <v>41</v>
      </c>
      <c r="C372" s="9">
        <v>2009</v>
      </c>
      <c r="D372">
        <v>78.805265000000006</v>
      </c>
      <c r="E372">
        <v>864.31666399999995</v>
      </c>
      <c r="F372">
        <v>50.141226000000003</v>
      </c>
      <c r="G372">
        <v>1438.1884050000001</v>
      </c>
      <c r="H372">
        <v>261.43415399999998</v>
      </c>
      <c r="I372">
        <v>2441.8329680000002</v>
      </c>
      <c r="J372">
        <v>5134.7186819999997</v>
      </c>
    </row>
    <row r="373" spans="1:10" x14ac:dyDescent="0.25">
      <c r="A373" t="s">
        <v>4</v>
      </c>
      <c r="B373" t="s">
        <v>26</v>
      </c>
      <c r="C373" s="9">
        <v>2010</v>
      </c>
      <c r="D373">
        <v>0</v>
      </c>
      <c r="E373">
        <v>25.789368</v>
      </c>
      <c r="F373">
        <v>2.6361870000000001</v>
      </c>
      <c r="G373">
        <v>8.4773960000000006</v>
      </c>
      <c r="H373">
        <v>0</v>
      </c>
      <c r="I373">
        <v>54.21199</v>
      </c>
      <c r="J373">
        <v>91.114941000000002</v>
      </c>
    </row>
    <row r="374" spans="1:10" x14ac:dyDescent="0.25">
      <c r="A374" t="s">
        <v>3</v>
      </c>
      <c r="B374" t="s">
        <v>34</v>
      </c>
      <c r="C374" s="9">
        <v>2010</v>
      </c>
      <c r="D374">
        <v>34.679814</v>
      </c>
      <c r="E374">
        <v>893.59199599999999</v>
      </c>
      <c r="F374">
        <v>47.472219000000003</v>
      </c>
      <c r="G374">
        <v>1531.670897</v>
      </c>
      <c r="H374">
        <v>53.407344000000002</v>
      </c>
      <c r="I374">
        <v>2058.9872329999998</v>
      </c>
      <c r="J374">
        <v>4619.8095030000004</v>
      </c>
    </row>
    <row r="375" spans="1:10" x14ac:dyDescent="0.25">
      <c r="A375" t="s">
        <v>4</v>
      </c>
      <c r="B375" t="s">
        <v>35</v>
      </c>
      <c r="C375" s="9">
        <v>2010</v>
      </c>
      <c r="D375">
        <v>0.123151</v>
      </c>
      <c r="E375">
        <v>11.437797</v>
      </c>
      <c r="F375">
        <v>0.26265699999999997</v>
      </c>
      <c r="G375">
        <v>2.343191</v>
      </c>
      <c r="H375">
        <v>0.198182</v>
      </c>
      <c r="I375">
        <v>11.379243000000001</v>
      </c>
      <c r="J375">
        <v>25.744221</v>
      </c>
    </row>
    <row r="376" spans="1:10" x14ac:dyDescent="0.25">
      <c r="A376" t="s">
        <v>3</v>
      </c>
      <c r="B376" t="s">
        <v>39</v>
      </c>
      <c r="C376" s="9">
        <v>2010</v>
      </c>
      <c r="D376">
        <v>4.0137669999999996</v>
      </c>
      <c r="E376">
        <v>163.45973699999999</v>
      </c>
      <c r="F376">
        <v>22.499815999999999</v>
      </c>
      <c r="G376">
        <v>24.673348000000001</v>
      </c>
      <c r="H376">
        <v>3.7009949999999998</v>
      </c>
      <c r="I376">
        <v>337.88181800000001</v>
      </c>
      <c r="J376">
        <v>556.22948099999996</v>
      </c>
    </row>
    <row r="377" spans="1:10" x14ac:dyDescent="0.25">
      <c r="A377" t="s">
        <v>3</v>
      </c>
      <c r="B377" t="s">
        <v>41</v>
      </c>
      <c r="C377" s="9">
        <v>2010</v>
      </c>
      <c r="D377">
        <v>66.107736000000003</v>
      </c>
      <c r="E377">
        <v>897.95026499999994</v>
      </c>
      <c r="F377">
        <v>47.786755999999997</v>
      </c>
      <c r="G377">
        <v>1578.5225660000001</v>
      </c>
      <c r="H377">
        <v>190.390062</v>
      </c>
      <c r="I377">
        <v>2532.645305</v>
      </c>
      <c r="J377">
        <v>5313.4026899999999</v>
      </c>
    </row>
    <row r="378" spans="1:10" x14ac:dyDescent="0.25">
      <c r="A378" t="s">
        <v>4</v>
      </c>
      <c r="B378" t="s">
        <v>26</v>
      </c>
      <c r="C378" s="9">
        <v>2011</v>
      </c>
      <c r="D378">
        <v>0</v>
      </c>
      <c r="E378">
        <v>27.026921000000002</v>
      </c>
      <c r="F378">
        <v>2.6445530000000002</v>
      </c>
      <c r="G378">
        <v>5.0173930000000002</v>
      </c>
      <c r="H378">
        <v>0</v>
      </c>
      <c r="I378">
        <v>56.750818000000002</v>
      </c>
      <c r="J378">
        <v>91.439684999999997</v>
      </c>
    </row>
    <row r="379" spans="1:10" x14ac:dyDescent="0.25">
      <c r="A379" t="s">
        <v>3</v>
      </c>
      <c r="B379" t="s">
        <v>34</v>
      </c>
      <c r="C379" s="9">
        <v>2011</v>
      </c>
      <c r="D379">
        <v>37.122481000000001</v>
      </c>
      <c r="E379">
        <v>898.93489399999999</v>
      </c>
      <c r="F379">
        <v>49.899410000000003</v>
      </c>
      <c r="G379">
        <v>1611.418719</v>
      </c>
      <c r="H379">
        <v>49.802160999999998</v>
      </c>
      <c r="I379">
        <v>2131.2760029999999</v>
      </c>
      <c r="J379">
        <v>4778.4536680000001</v>
      </c>
    </row>
    <row r="380" spans="1:10" x14ac:dyDescent="0.25">
      <c r="A380" t="s">
        <v>4</v>
      </c>
      <c r="B380" t="s">
        <v>35</v>
      </c>
      <c r="C380" s="9">
        <v>2011</v>
      </c>
      <c r="D380">
        <v>0.105716</v>
      </c>
      <c r="E380">
        <v>12.467933</v>
      </c>
      <c r="F380">
        <v>0.18368000000000001</v>
      </c>
      <c r="G380">
        <v>2.310327</v>
      </c>
      <c r="H380">
        <v>0.232986</v>
      </c>
      <c r="I380">
        <v>13.672946</v>
      </c>
      <c r="J380">
        <v>28.973587999999999</v>
      </c>
    </row>
    <row r="381" spans="1:10" x14ac:dyDescent="0.25">
      <c r="A381" t="s">
        <v>3</v>
      </c>
      <c r="B381" t="s">
        <v>39</v>
      </c>
      <c r="C381" s="9">
        <v>2011</v>
      </c>
      <c r="D381">
        <v>4.4438219999999999</v>
      </c>
      <c r="E381">
        <v>156.33653899999999</v>
      </c>
      <c r="F381">
        <v>16.556732</v>
      </c>
      <c r="G381">
        <v>21.169589999999999</v>
      </c>
      <c r="H381">
        <v>3.4027210000000001</v>
      </c>
      <c r="I381">
        <v>326.910505</v>
      </c>
      <c r="J381">
        <v>528.81990900000005</v>
      </c>
    </row>
    <row r="382" spans="1:10" x14ac:dyDescent="0.25">
      <c r="A382" t="s">
        <v>3</v>
      </c>
      <c r="B382" t="s">
        <v>41</v>
      </c>
      <c r="C382" s="9">
        <v>2011</v>
      </c>
      <c r="D382">
        <v>62.906911999999998</v>
      </c>
      <c r="E382">
        <v>913.79469600000004</v>
      </c>
      <c r="F382">
        <v>47.357740999999997</v>
      </c>
      <c r="G382">
        <v>1576.165094</v>
      </c>
      <c r="H382">
        <v>181.69610499999999</v>
      </c>
      <c r="I382">
        <v>2564.7301219999999</v>
      </c>
      <c r="J382">
        <v>5346.65067</v>
      </c>
    </row>
    <row r="383" spans="1:10" x14ac:dyDescent="0.25">
      <c r="A383" t="s">
        <v>1</v>
      </c>
      <c r="B383" t="s">
        <v>74</v>
      </c>
      <c r="C383" s="9">
        <v>2012</v>
      </c>
      <c r="D383">
        <v>0</v>
      </c>
      <c r="E383">
        <v>1.7255E-2</v>
      </c>
      <c r="F383">
        <v>3.7429999999999998E-3</v>
      </c>
      <c r="G383">
        <v>1.755E-3</v>
      </c>
      <c r="H383">
        <v>1.66E-4</v>
      </c>
      <c r="I383">
        <v>2.0247999999999999E-2</v>
      </c>
      <c r="J383">
        <v>4.3166999999999997E-2</v>
      </c>
    </row>
    <row r="384" spans="1:10" x14ac:dyDescent="0.25">
      <c r="A384" t="s">
        <v>4</v>
      </c>
      <c r="B384" t="s">
        <v>26</v>
      </c>
      <c r="C384" s="9">
        <v>2012</v>
      </c>
      <c r="D384">
        <v>0</v>
      </c>
      <c r="E384">
        <v>26.070233000000002</v>
      </c>
      <c r="F384">
        <v>1.711274</v>
      </c>
      <c r="G384">
        <v>5.3640590000000001</v>
      </c>
      <c r="H384">
        <v>0</v>
      </c>
      <c r="I384">
        <v>52.508949000000001</v>
      </c>
      <c r="J384">
        <v>85.654515000000004</v>
      </c>
    </row>
    <row r="385" spans="1:10" x14ac:dyDescent="0.25">
      <c r="A385" t="s">
        <v>3</v>
      </c>
      <c r="B385" t="s">
        <v>34</v>
      </c>
      <c r="C385" s="9">
        <v>2012</v>
      </c>
      <c r="D385">
        <v>36.993811000000001</v>
      </c>
      <c r="E385">
        <v>909.27870600000006</v>
      </c>
      <c r="F385">
        <v>50.779555000000002</v>
      </c>
      <c r="G385">
        <v>1701.368635</v>
      </c>
      <c r="H385">
        <v>25.032943</v>
      </c>
      <c r="I385">
        <v>2007.8703089999999</v>
      </c>
      <c r="J385">
        <v>4731.3239590000003</v>
      </c>
    </row>
    <row r="386" spans="1:10" x14ac:dyDescent="0.25">
      <c r="A386" t="s">
        <v>4</v>
      </c>
      <c r="B386" t="s">
        <v>35</v>
      </c>
      <c r="C386" s="9">
        <v>2012</v>
      </c>
      <c r="D386">
        <v>0.108029</v>
      </c>
      <c r="E386">
        <v>13.953751</v>
      </c>
      <c r="F386">
        <v>0.26694600000000002</v>
      </c>
      <c r="G386">
        <v>2.7885520000000001</v>
      </c>
      <c r="H386">
        <v>0.241782</v>
      </c>
      <c r="I386">
        <v>12.504498999999999</v>
      </c>
      <c r="J386">
        <v>29.863558999999999</v>
      </c>
    </row>
    <row r="387" spans="1:10" x14ac:dyDescent="0.25">
      <c r="A387" t="s">
        <v>4</v>
      </c>
      <c r="B387" t="s">
        <v>75</v>
      </c>
      <c r="C387" s="9">
        <v>2012</v>
      </c>
      <c r="D387">
        <v>0</v>
      </c>
      <c r="E387">
        <v>0.17496400000000001</v>
      </c>
      <c r="F387">
        <v>1.3480000000000001E-2</v>
      </c>
      <c r="G387">
        <v>3.5140000000000002E-3</v>
      </c>
      <c r="H387">
        <v>4.75E-4</v>
      </c>
      <c r="I387">
        <v>7.1473999999999996E-2</v>
      </c>
      <c r="J387">
        <v>0.263907</v>
      </c>
    </row>
    <row r="388" spans="1:10" x14ac:dyDescent="0.25">
      <c r="A388" t="s">
        <v>3</v>
      </c>
      <c r="B388" t="s">
        <v>39</v>
      </c>
      <c r="C388" s="9">
        <v>2012</v>
      </c>
      <c r="D388">
        <v>4.8318060000000003</v>
      </c>
      <c r="E388">
        <v>155.822779</v>
      </c>
      <c r="F388">
        <v>16.928552</v>
      </c>
      <c r="G388">
        <v>22.155963</v>
      </c>
      <c r="H388">
        <v>3.7823349999999998</v>
      </c>
      <c r="I388">
        <v>311.14353899999998</v>
      </c>
      <c r="J388">
        <v>514.66497400000003</v>
      </c>
    </row>
    <row r="389" spans="1:10" x14ac:dyDescent="0.25">
      <c r="A389" t="s">
        <v>3</v>
      </c>
      <c r="B389" t="s">
        <v>41</v>
      </c>
      <c r="C389" s="9">
        <v>2012</v>
      </c>
      <c r="D389">
        <v>70.698425999999998</v>
      </c>
      <c r="E389">
        <v>897.34731499999998</v>
      </c>
      <c r="F389">
        <v>48.385438999999998</v>
      </c>
      <c r="G389">
        <v>1586.8583980000001</v>
      </c>
      <c r="H389">
        <v>218.61480800000001</v>
      </c>
      <c r="I389">
        <v>2385.6428649999998</v>
      </c>
      <c r="J389">
        <v>5207.547251</v>
      </c>
    </row>
    <row r="390" spans="1:10" x14ac:dyDescent="0.25">
      <c r="A390" t="s">
        <v>4</v>
      </c>
      <c r="B390" t="s">
        <v>17</v>
      </c>
      <c r="C390" s="9">
        <v>2013</v>
      </c>
      <c r="D390">
        <v>0</v>
      </c>
      <c r="E390">
        <v>0.91869000000000001</v>
      </c>
      <c r="F390">
        <v>0</v>
      </c>
      <c r="G390">
        <v>0</v>
      </c>
      <c r="H390">
        <v>0</v>
      </c>
      <c r="I390">
        <v>1.42323</v>
      </c>
      <c r="J390">
        <v>2.34192</v>
      </c>
    </row>
    <row r="391" spans="1:10" x14ac:dyDescent="0.25">
      <c r="A391" t="s">
        <v>1</v>
      </c>
      <c r="B391" t="s">
        <v>74</v>
      </c>
      <c r="C391" s="9">
        <v>2013</v>
      </c>
      <c r="D391">
        <v>0</v>
      </c>
      <c r="E391">
        <v>1.0522E-2</v>
      </c>
      <c r="F391">
        <v>3.6570000000000001E-3</v>
      </c>
      <c r="G391">
        <v>8.3699999999999996E-4</v>
      </c>
      <c r="H391">
        <v>1.4100000000000001E-4</v>
      </c>
      <c r="I391">
        <v>1.2519000000000001E-2</v>
      </c>
      <c r="J391">
        <v>2.7675999999999999E-2</v>
      </c>
    </row>
    <row r="392" spans="1:10" x14ac:dyDescent="0.25">
      <c r="A392" t="s">
        <v>4</v>
      </c>
      <c r="B392" t="s">
        <v>26</v>
      </c>
      <c r="C392" s="9">
        <v>2013</v>
      </c>
      <c r="D392">
        <v>1.3551000000000001E-2</v>
      </c>
      <c r="E392">
        <v>26.675422999999999</v>
      </c>
      <c r="F392">
        <v>1.2540309999999999</v>
      </c>
      <c r="G392">
        <v>5.8630649999999997</v>
      </c>
      <c r="H392">
        <v>3.7141E-2</v>
      </c>
      <c r="I392">
        <v>52.621155000000002</v>
      </c>
      <c r="J392">
        <v>86.464365999999998</v>
      </c>
    </row>
    <row r="393" spans="1:10" x14ac:dyDescent="0.25">
      <c r="A393" t="s">
        <v>3</v>
      </c>
      <c r="B393" t="s">
        <v>34</v>
      </c>
      <c r="C393" s="9">
        <v>2013</v>
      </c>
      <c r="D393">
        <v>38.919449999999998</v>
      </c>
      <c r="E393">
        <v>917.99156700000003</v>
      </c>
      <c r="F393">
        <v>50.387588000000001</v>
      </c>
      <c r="G393">
        <v>1700.494414</v>
      </c>
      <c r="H393">
        <v>19.657696999999999</v>
      </c>
      <c r="I393">
        <v>2053.7679119999998</v>
      </c>
      <c r="J393">
        <v>4781.2186279999996</v>
      </c>
    </row>
    <row r="394" spans="1:10" x14ac:dyDescent="0.25">
      <c r="A394" t="s">
        <v>4</v>
      </c>
      <c r="B394" t="s">
        <v>35</v>
      </c>
      <c r="C394" s="9">
        <v>2013</v>
      </c>
      <c r="D394">
        <v>8.2693000000000003E-2</v>
      </c>
      <c r="E394">
        <v>12.187662</v>
      </c>
      <c r="F394">
        <v>0.41828700000000002</v>
      </c>
      <c r="G394">
        <v>1.6076509999999999</v>
      </c>
      <c r="H394">
        <v>0.20583699999999999</v>
      </c>
      <c r="I394">
        <v>11.225942</v>
      </c>
      <c r="J394">
        <v>25.728072000000001</v>
      </c>
    </row>
    <row r="395" spans="1:10" x14ac:dyDescent="0.25">
      <c r="A395" t="s">
        <v>4</v>
      </c>
      <c r="B395" t="s">
        <v>75</v>
      </c>
      <c r="C395" s="9">
        <v>2013</v>
      </c>
      <c r="D395">
        <v>0</v>
      </c>
      <c r="E395">
        <v>0.19012499999999999</v>
      </c>
      <c r="F395">
        <v>8.2199999999999999E-3</v>
      </c>
      <c r="G395">
        <v>2.1926000000000001E-2</v>
      </c>
      <c r="H395">
        <v>3.2000000000000003E-4</v>
      </c>
      <c r="I395">
        <v>8.5402000000000006E-2</v>
      </c>
      <c r="J395">
        <v>0.30599300000000001</v>
      </c>
    </row>
    <row r="396" spans="1:10" x14ac:dyDescent="0.25">
      <c r="A396" t="s">
        <v>3</v>
      </c>
      <c r="B396" t="s">
        <v>39</v>
      </c>
      <c r="C396" s="9">
        <v>2013</v>
      </c>
      <c r="D396">
        <v>4.0418729999999998</v>
      </c>
      <c r="E396">
        <v>162.28184899999999</v>
      </c>
      <c r="F396">
        <v>17.351108</v>
      </c>
      <c r="G396">
        <v>21.736173999999998</v>
      </c>
      <c r="H396">
        <v>3.9256500000000001</v>
      </c>
      <c r="I396">
        <v>318.26924600000001</v>
      </c>
      <c r="J396">
        <v>527.60590000000002</v>
      </c>
    </row>
    <row r="397" spans="1:10" x14ac:dyDescent="0.25">
      <c r="A397" t="s">
        <v>3</v>
      </c>
      <c r="B397" t="s">
        <v>41</v>
      </c>
      <c r="C397" s="9">
        <v>2013</v>
      </c>
      <c r="D397">
        <v>72.987438999999995</v>
      </c>
      <c r="E397">
        <v>920.639049</v>
      </c>
      <c r="F397">
        <v>48.753743</v>
      </c>
      <c r="G397">
        <v>1645.249104</v>
      </c>
      <c r="H397">
        <v>245.464696</v>
      </c>
      <c r="I397">
        <v>2473.3211099999999</v>
      </c>
      <c r="J397">
        <v>5406.4151410000004</v>
      </c>
    </row>
    <row r="398" spans="1:10" x14ac:dyDescent="0.25">
      <c r="A398" t="s">
        <v>4</v>
      </c>
      <c r="B398" t="s">
        <v>17</v>
      </c>
      <c r="C398" s="9">
        <v>2014</v>
      </c>
      <c r="D398">
        <v>0</v>
      </c>
      <c r="E398">
        <v>0.88511099999999998</v>
      </c>
      <c r="F398">
        <v>0</v>
      </c>
      <c r="G398">
        <v>0</v>
      </c>
      <c r="H398">
        <v>0</v>
      </c>
      <c r="I398">
        <v>1.356535</v>
      </c>
      <c r="J398">
        <v>2.2416459999999998</v>
      </c>
    </row>
    <row r="399" spans="1:10" x14ac:dyDescent="0.25">
      <c r="A399" t="s">
        <v>4</v>
      </c>
      <c r="B399" t="s">
        <v>26</v>
      </c>
      <c r="C399" s="9">
        <v>2014</v>
      </c>
      <c r="D399">
        <v>9.5253000000000004E-2</v>
      </c>
      <c r="E399">
        <v>22.083289000000001</v>
      </c>
      <c r="F399">
        <v>2.8600430000000001</v>
      </c>
      <c r="G399">
        <v>6.0525589999999996</v>
      </c>
      <c r="H399">
        <v>0.31275700000000001</v>
      </c>
      <c r="I399">
        <v>42.748328999999998</v>
      </c>
      <c r="J399">
        <v>74.152230000000003</v>
      </c>
    </row>
    <row r="400" spans="1:10" x14ac:dyDescent="0.25">
      <c r="A400" t="s">
        <v>3</v>
      </c>
      <c r="B400" t="s">
        <v>34</v>
      </c>
      <c r="C400" s="9">
        <v>2014</v>
      </c>
      <c r="D400">
        <v>34.091594999999998</v>
      </c>
      <c r="E400">
        <v>809.51630599999999</v>
      </c>
      <c r="F400">
        <v>59.732242999999997</v>
      </c>
      <c r="G400">
        <v>1776.9981740000001</v>
      </c>
      <c r="H400">
        <v>56.375402999999999</v>
      </c>
      <c r="I400">
        <v>1665.154231</v>
      </c>
      <c r="J400">
        <v>4401.8679519999996</v>
      </c>
    </row>
    <row r="401" spans="1:10" x14ac:dyDescent="0.25">
      <c r="A401" t="s">
        <v>4</v>
      </c>
      <c r="B401" t="s">
        <v>35</v>
      </c>
      <c r="C401" s="9">
        <v>2014</v>
      </c>
      <c r="D401">
        <v>5.5285000000000001E-2</v>
      </c>
      <c r="E401">
        <v>13.969301</v>
      </c>
      <c r="F401">
        <v>0.470856</v>
      </c>
      <c r="G401">
        <v>2.5492330000000001</v>
      </c>
      <c r="H401">
        <v>0.233295</v>
      </c>
      <c r="I401">
        <v>9.1798319999999993</v>
      </c>
      <c r="J401">
        <v>26.457802000000001</v>
      </c>
    </row>
    <row r="402" spans="1:10" x14ac:dyDescent="0.25">
      <c r="A402" t="s">
        <v>4</v>
      </c>
      <c r="B402" t="s">
        <v>75</v>
      </c>
      <c r="C402" s="9">
        <v>2014</v>
      </c>
      <c r="D402">
        <v>0</v>
      </c>
      <c r="E402">
        <v>0.21972700000000001</v>
      </c>
      <c r="F402">
        <v>5.3169999999999997E-3</v>
      </c>
      <c r="G402">
        <v>3.5109000000000001E-2</v>
      </c>
      <c r="H402">
        <v>7.0399999999999998E-4</v>
      </c>
      <c r="I402">
        <v>9.8627999999999993E-2</v>
      </c>
      <c r="J402">
        <v>0.359485</v>
      </c>
    </row>
    <row r="403" spans="1:10" x14ac:dyDescent="0.25">
      <c r="A403" t="s">
        <v>3</v>
      </c>
      <c r="B403" t="s">
        <v>39</v>
      </c>
      <c r="C403" s="9">
        <v>2014</v>
      </c>
      <c r="D403">
        <v>2.425122</v>
      </c>
      <c r="E403">
        <v>153.116827</v>
      </c>
      <c r="F403">
        <v>15.007569999999999</v>
      </c>
      <c r="G403">
        <v>20.460825</v>
      </c>
      <c r="H403">
        <v>3.4335</v>
      </c>
      <c r="I403">
        <v>256.54871600000001</v>
      </c>
      <c r="J403">
        <v>450.99256000000003</v>
      </c>
    </row>
    <row r="404" spans="1:10" x14ac:dyDescent="0.25">
      <c r="A404" t="s">
        <v>3</v>
      </c>
      <c r="B404" t="s">
        <v>41</v>
      </c>
      <c r="C404" s="9">
        <v>2014</v>
      </c>
      <c r="D404">
        <v>72.052490000000006</v>
      </c>
      <c r="E404">
        <v>842.24309900000003</v>
      </c>
      <c r="F404">
        <v>48.721853000000003</v>
      </c>
      <c r="G404">
        <v>1665.318317</v>
      </c>
      <c r="H404">
        <v>260.43144599999999</v>
      </c>
      <c r="I404">
        <v>2010.3457209999999</v>
      </c>
      <c r="J404">
        <v>4899.1129259999998</v>
      </c>
    </row>
    <row r="405" spans="1:10" x14ac:dyDescent="0.25">
      <c r="A405" t="s">
        <v>4</v>
      </c>
      <c r="B405" t="s">
        <v>17</v>
      </c>
      <c r="C405" s="9">
        <v>2015</v>
      </c>
      <c r="D405">
        <v>0</v>
      </c>
      <c r="E405">
        <v>0.679844</v>
      </c>
      <c r="F405">
        <v>0</v>
      </c>
      <c r="G405">
        <v>0</v>
      </c>
      <c r="H405">
        <v>0</v>
      </c>
      <c r="I405">
        <v>0.82926999999999995</v>
      </c>
      <c r="J405">
        <v>1.5091140000000001</v>
      </c>
    </row>
    <row r="406" spans="1:10" x14ac:dyDescent="0.25">
      <c r="A406" t="s">
        <v>4</v>
      </c>
      <c r="B406" t="s">
        <v>76</v>
      </c>
      <c r="C406" s="9">
        <v>2015</v>
      </c>
      <c r="D406">
        <v>3.0699999999999998E-4</v>
      </c>
      <c r="E406">
        <v>0.94407200000000002</v>
      </c>
      <c r="F406">
        <v>1.3001E-2</v>
      </c>
      <c r="G406">
        <v>1.152E-3</v>
      </c>
      <c r="H406">
        <v>0</v>
      </c>
      <c r="I406">
        <v>0.89309300000000003</v>
      </c>
      <c r="J406">
        <v>1.8516250000000001</v>
      </c>
    </row>
    <row r="407" spans="1:10" x14ac:dyDescent="0.25">
      <c r="A407" t="s">
        <v>4</v>
      </c>
      <c r="B407" t="s">
        <v>26</v>
      </c>
      <c r="C407" s="9">
        <v>2015</v>
      </c>
      <c r="D407">
        <v>9.3718999999999997E-2</v>
      </c>
      <c r="E407">
        <v>22.438683999999999</v>
      </c>
      <c r="F407">
        <v>3.3710939999999998</v>
      </c>
      <c r="G407">
        <v>5.9059280000000003</v>
      </c>
      <c r="H407">
        <v>0.28933900000000001</v>
      </c>
      <c r="I407">
        <v>44.430571</v>
      </c>
      <c r="J407">
        <v>76.529335000000003</v>
      </c>
    </row>
    <row r="408" spans="1:10" x14ac:dyDescent="0.25">
      <c r="A408" t="s">
        <v>3</v>
      </c>
      <c r="B408" t="s">
        <v>34</v>
      </c>
      <c r="C408" s="9">
        <v>2015</v>
      </c>
      <c r="D408">
        <v>34.473832000000002</v>
      </c>
      <c r="E408">
        <v>816.95232999999996</v>
      </c>
      <c r="F408">
        <v>59.242269999999998</v>
      </c>
      <c r="G408">
        <v>1762.3645919999999</v>
      </c>
      <c r="H408">
        <v>56.187359999999998</v>
      </c>
      <c r="I408">
        <v>1689.897545</v>
      </c>
      <c r="J408">
        <v>4419.117929</v>
      </c>
    </row>
    <row r="409" spans="1:10" x14ac:dyDescent="0.25">
      <c r="A409" t="s">
        <v>4</v>
      </c>
      <c r="B409" t="s">
        <v>35</v>
      </c>
      <c r="C409" s="9">
        <v>2015</v>
      </c>
      <c r="D409">
        <v>3.4542999999999997E-2</v>
      </c>
      <c r="E409">
        <v>13.249836999999999</v>
      </c>
      <c r="F409">
        <v>0.65734800000000004</v>
      </c>
      <c r="G409">
        <v>2.4301840000000001</v>
      </c>
      <c r="H409">
        <v>0.215228</v>
      </c>
      <c r="I409">
        <v>9.1405530000000006</v>
      </c>
      <c r="J409">
        <v>25.727692999999999</v>
      </c>
    </row>
    <row r="410" spans="1:10" x14ac:dyDescent="0.25">
      <c r="A410" t="s">
        <v>4</v>
      </c>
      <c r="B410" t="s">
        <v>75</v>
      </c>
      <c r="C410" s="9">
        <v>2015</v>
      </c>
      <c r="D410">
        <v>0</v>
      </c>
      <c r="E410">
        <v>0.22636899999999999</v>
      </c>
      <c r="F410">
        <v>2.2390000000000001E-3</v>
      </c>
      <c r="G410">
        <v>5.9676E-2</v>
      </c>
      <c r="H410">
        <v>0</v>
      </c>
      <c r="I410">
        <v>0.129584</v>
      </c>
      <c r="J410">
        <v>0.41786800000000002</v>
      </c>
    </row>
    <row r="411" spans="1:10" x14ac:dyDescent="0.25">
      <c r="A411" t="s">
        <v>3</v>
      </c>
      <c r="B411" t="s">
        <v>39</v>
      </c>
      <c r="C411" s="9">
        <v>2015</v>
      </c>
      <c r="D411">
        <v>2.4151259999999999</v>
      </c>
      <c r="E411">
        <v>153.19383999999999</v>
      </c>
      <c r="F411">
        <v>17.165002000000001</v>
      </c>
      <c r="G411">
        <v>20.832650999999998</v>
      </c>
      <c r="H411">
        <v>3.5194480000000001</v>
      </c>
      <c r="I411">
        <v>255.613587</v>
      </c>
      <c r="J411">
        <v>452.73965399999997</v>
      </c>
    </row>
    <row r="412" spans="1:10" x14ac:dyDescent="0.25">
      <c r="A412" t="s">
        <v>3</v>
      </c>
      <c r="B412" t="s">
        <v>41</v>
      </c>
      <c r="C412" s="9">
        <v>2015</v>
      </c>
      <c r="D412">
        <v>73.562828999999994</v>
      </c>
      <c r="E412">
        <v>851.16122099999995</v>
      </c>
      <c r="F412">
        <v>49.542411999999999</v>
      </c>
      <c r="G412">
        <v>1617.569115</v>
      </c>
      <c r="H412">
        <v>242.41347999999999</v>
      </c>
      <c r="I412">
        <v>2037.9610029999999</v>
      </c>
      <c r="J412">
        <v>4872.2100600000003</v>
      </c>
    </row>
    <row r="413" spans="1:10" x14ac:dyDescent="0.25">
      <c r="A413" t="s">
        <v>4</v>
      </c>
      <c r="B413" t="s">
        <v>76</v>
      </c>
      <c r="C413" s="9">
        <v>2016</v>
      </c>
      <c r="D413">
        <v>3.1500000000000001E-4</v>
      </c>
      <c r="E413">
        <v>1.0679590000000001</v>
      </c>
      <c r="F413">
        <v>1.3433E-2</v>
      </c>
      <c r="G413">
        <v>1.397E-3</v>
      </c>
      <c r="H413">
        <v>0</v>
      </c>
      <c r="I413">
        <v>1.029439</v>
      </c>
      <c r="J413">
        <v>2.1125430000000001</v>
      </c>
    </row>
    <row r="414" spans="1:10" x14ac:dyDescent="0.25">
      <c r="A414" t="s">
        <v>4</v>
      </c>
      <c r="B414" t="s">
        <v>26</v>
      </c>
      <c r="C414" s="9">
        <v>2016</v>
      </c>
      <c r="D414">
        <v>0.112078</v>
      </c>
      <c r="E414">
        <v>23.161384999999999</v>
      </c>
      <c r="F414">
        <v>4.245063</v>
      </c>
      <c r="G414">
        <v>6.7331950000000003</v>
      </c>
      <c r="H414">
        <v>2.0877629999999998</v>
      </c>
      <c r="I414">
        <v>44.832949999999997</v>
      </c>
      <c r="J414">
        <v>81.172433999999996</v>
      </c>
    </row>
    <row r="415" spans="1:10" x14ac:dyDescent="0.25">
      <c r="A415" t="s">
        <v>3</v>
      </c>
      <c r="B415" t="s">
        <v>34</v>
      </c>
      <c r="C415" s="9">
        <v>2016</v>
      </c>
      <c r="D415">
        <v>36.082045000000001</v>
      </c>
      <c r="E415">
        <v>842.90992400000005</v>
      </c>
      <c r="F415">
        <v>63.120691000000001</v>
      </c>
      <c r="G415">
        <v>1809.611046</v>
      </c>
      <c r="H415">
        <v>69.707911999999993</v>
      </c>
      <c r="I415">
        <v>1745.5257710000001</v>
      </c>
      <c r="J415">
        <v>4566.9573890000001</v>
      </c>
    </row>
    <row r="416" spans="1:10" x14ac:dyDescent="0.25">
      <c r="A416" t="s">
        <v>4</v>
      </c>
      <c r="B416" t="s">
        <v>35</v>
      </c>
      <c r="C416" s="9">
        <v>2016</v>
      </c>
      <c r="D416">
        <v>6.1855E-2</v>
      </c>
      <c r="E416">
        <v>13.884188</v>
      </c>
      <c r="F416">
        <v>0.66127800000000003</v>
      </c>
      <c r="G416">
        <v>2.5379049999999999</v>
      </c>
      <c r="H416">
        <v>0.13327700000000001</v>
      </c>
      <c r="I416">
        <v>9.3930229999999995</v>
      </c>
      <c r="J416">
        <v>26.671526</v>
      </c>
    </row>
    <row r="417" spans="1:10" x14ac:dyDescent="0.25">
      <c r="A417" t="s">
        <v>4</v>
      </c>
      <c r="B417" t="s">
        <v>75</v>
      </c>
      <c r="C417" s="9">
        <v>2016</v>
      </c>
      <c r="D417">
        <v>0</v>
      </c>
      <c r="E417">
        <v>0.252222</v>
      </c>
      <c r="F417">
        <v>6.28E-3</v>
      </c>
      <c r="G417">
        <v>7.7780000000000002E-3</v>
      </c>
      <c r="H417">
        <v>6.7000000000000002E-5</v>
      </c>
      <c r="I417">
        <v>0.128609</v>
      </c>
      <c r="J417">
        <v>0.39495599999999997</v>
      </c>
    </row>
    <row r="418" spans="1:10" x14ac:dyDescent="0.25">
      <c r="A418" t="s">
        <v>3</v>
      </c>
      <c r="B418" t="s">
        <v>39</v>
      </c>
      <c r="C418" s="9">
        <v>2016</v>
      </c>
      <c r="D418">
        <v>3.1344430000000001</v>
      </c>
      <c r="E418">
        <v>158.536517</v>
      </c>
      <c r="F418">
        <v>17.631777</v>
      </c>
      <c r="G418">
        <v>21.347452000000001</v>
      </c>
      <c r="H418">
        <v>3.1499950000000001</v>
      </c>
      <c r="I418">
        <v>268.964313</v>
      </c>
      <c r="J418">
        <v>472.76449700000001</v>
      </c>
    </row>
    <row r="419" spans="1:10" x14ac:dyDescent="0.25">
      <c r="A419" t="s">
        <v>3</v>
      </c>
      <c r="B419" t="s">
        <v>41</v>
      </c>
      <c r="C419" s="9">
        <v>2016</v>
      </c>
      <c r="D419">
        <v>77.039801999999995</v>
      </c>
      <c r="E419">
        <v>892.508331</v>
      </c>
      <c r="F419">
        <v>56.758217000000002</v>
      </c>
      <c r="G419">
        <v>1724.8531519999999</v>
      </c>
      <c r="H419">
        <v>236.79325299999999</v>
      </c>
      <c r="I419">
        <v>2136.193698</v>
      </c>
      <c r="J419">
        <v>5124.1464530000003</v>
      </c>
    </row>
    <row r="420" spans="1:10" x14ac:dyDescent="0.25">
      <c r="A420" t="s">
        <v>4</v>
      </c>
      <c r="B420" t="s">
        <v>77</v>
      </c>
      <c r="C420" s="9">
        <v>2016</v>
      </c>
      <c r="D420">
        <v>0</v>
      </c>
      <c r="E420">
        <v>0.61495900000000003</v>
      </c>
      <c r="F420">
        <v>0.17436399999999999</v>
      </c>
      <c r="G420">
        <v>7.8043930000000001</v>
      </c>
      <c r="H420">
        <v>0</v>
      </c>
      <c r="I420">
        <v>1.474E-3</v>
      </c>
      <c r="J420">
        <v>8.5951900000000006</v>
      </c>
    </row>
    <row r="421" spans="1:10" x14ac:dyDescent="0.25">
      <c r="A421" t="s">
        <v>4</v>
      </c>
      <c r="B421" t="s">
        <v>76</v>
      </c>
      <c r="C421" s="9">
        <v>2017</v>
      </c>
      <c r="D421">
        <v>5.4500000000000002E-4</v>
      </c>
      <c r="E421">
        <v>1.1303000000000001</v>
      </c>
      <c r="F421">
        <v>1.4899000000000001E-2</v>
      </c>
      <c r="G421">
        <v>1.361E-3</v>
      </c>
      <c r="H421">
        <v>0</v>
      </c>
      <c r="I421">
        <v>1.289169</v>
      </c>
      <c r="J421">
        <v>2.4362740000000001</v>
      </c>
    </row>
    <row r="422" spans="1:10" x14ac:dyDescent="0.25">
      <c r="A422" t="s">
        <v>4</v>
      </c>
      <c r="B422" t="s">
        <v>26</v>
      </c>
      <c r="C422" s="9">
        <v>2017</v>
      </c>
      <c r="D422">
        <v>0.113733</v>
      </c>
      <c r="E422">
        <v>22.404088000000002</v>
      </c>
      <c r="F422">
        <v>6.3715330000000003</v>
      </c>
      <c r="G422">
        <v>7.4312519999999997</v>
      </c>
      <c r="H422">
        <v>8.4513269999999991</v>
      </c>
      <c r="I422">
        <v>44.517493999999999</v>
      </c>
      <c r="J422">
        <v>89.289427000000003</v>
      </c>
    </row>
    <row r="423" spans="1:10" x14ac:dyDescent="0.25">
      <c r="A423" t="s">
        <v>3</v>
      </c>
      <c r="B423" t="s">
        <v>34</v>
      </c>
      <c r="C423" s="9">
        <v>2017</v>
      </c>
      <c r="D423">
        <v>36.396563999999998</v>
      </c>
      <c r="E423">
        <v>864.80980299999999</v>
      </c>
      <c r="F423">
        <v>67.958641</v>
      </c>
      <c r="G423">
        <v>1701.3355610000001</v>
      </c>
      <c r="H423">
        <v>170.81549100000001</v>
      </c>
      <c r="I423">
        <v>1873.364268</v>
      </c>
      <c r="J423">
        <v>4714.6803280000004</v>
      </c>
    </row>
    <row r="424" spans="1:10" x14ac:dyDescent="0.25">
      <c r="A424" t="s">
        <v>4</v>
      </c>
      <c r="B424" t="s">
        <v>35</v>
      </c>
      <c r="C424" s="9">
        <v>2017</v>
      </c>
      <c r="D424">
        <v>4.6864999999999997E-2</v>
      </c>
      <c r="E424">
        <v>14.791846</v>
      </c>
      <c r="F424">
        <v>0.65757399999999999</v>
      </c>
      <c r="G424">
        <v>2.482405</v>
      </c>
      <c r="H424">
        <v>0.12565200000000001</v>
      </c>
      <c r="I424">
        <v>10.199024</v>
      </c>
      <c r="J424">
        <v>28.303366</v>
      </c>
    </row>
    <row r="425" spans="1:10" x14ac:dyDescent="0.25">
      <c r="A425" t="s">
        <v>4</v>
      </c>
      <c r="B425" t="s">
        <v>75</v>
      </c>
      <c r="C425" s="9">
        <v>2017</v>
      </c>
      <c r="D425">
        <v>0</v>
      </c>
      <c r="E425">
        <v>0.25600400000000001</v>
      </c>
      <c r="F425">
        <v>1.6501999999999999E-2</v>
      </c>
      <c r="G425">
        <v>4.3251999999999999E-2</v>
      </c>
      <c r="H425">
        <v>2.3609999999999998E-3</v>
      </c>
      <c r="I425">
        <v>0.13691700000000001</v>
      </c>
      <c r="J425">
        <v>0.455036</v>
      </c>
    </row>
    <row r="426" spans="1:10" x14ac:dyDescent="0.25">
      <c r="A426" t="s">
        <v>3</v>
      </c>
      <c r="B426" t="s">
        <v>39</v>
      </c>
      <c r="C426" s="9">
        <v>2017</v>
      </c>
      <c r="D426">
        <v>3.195573</v>
      </c>
      <c r="E426">
        <v>163.24338399999999</v>
      </c>
      <c r="F426">
        <v>17.149325000000001</v>
      </c>
      <c r="G426">
        <v>20.101223999999998</v>
      </c>
      <c r="H426">
        <v>3.3499490000000001</v>
      </c>
      <c r="I426">
        <v>272.77965699999999</v>
      </c>
      <c r="J426">
        <v>479.81911200000002</v>
      </c>
    </row>
    <row r="427" spans="1:10" x14ac:dyDescent="0.25">
      <c r="A427" t="s">
        <v>3</v>
      </c>
      <c r="B427" t="s">
        <v>41</v>
      </c>
      <c r="C427" s="9">
        <v>2017</v>
      </c>
      <c r="D427">
        <v>69.433349000000007</v>
      </c>
      <c r="E427">
        <v>895.86177399999997</v>
      </c>
      <c r="F427">
        <v>72.182936999999995</v>
      </c>
      <c r="G427">
        <v>1716.5670950000001</v>
      </c>
      <c r="H427">
        <v>229.745824</v>
      </c>
      <c r="I427">
        <v>2158.0529069999998</v>
      </c>
      <c r="J427">
        <v>5141.8438859999997</v>
      </c>
    </row>
    <row r="428" spans="1:10" x14ac:dyDescent="0.25">
      <c r="A428" t="s">
        <v>4</v>
      </c>
      <c r="B428" t="s">
        <v>77</v>
      </c>
      <c r="C428" s="9">
        <v>2017</v>
      </c>
      <c r="D428">
        <v>0</v>
      </c>
      <c r="E428">
        <v>5.0085040000000003</v>
      </c>
      <c r="F428">
        <v>1.1272740000000001</v>
      </c>
      <c r="G428">
        <v>52.769260000000003</v>
      </c>
      <c r="H428">
        <v>0</v>
      </c>
      <c r="I428">
        <v>1.2024999999999999E-2</v>
      </c>
      <c r="J428">
        <v>58.917062999999999</v>
      </c>
    </row>
    <row r="429" spans="1:10" x14ac:dyDescent="0.25">
      <c r="A429" t="s">
        <v>5</v>
      </c>
      <c r="B429" t="s">
        <v>78</v>
      </c>
      <c r="C429" s="9">
        <v>1990</v>
      </c>
      <c r="D429">
        <v>0.262799</v>
      </c>
      <c r="E429">
        <v>0</v>
      </c>
      <c r="F429">
        <v>0</v>
      </c>
      <c r="G429">
        <v>0</v>
      </c>
      <c r="H429">
        <v>0</v>
      </c>
      <c r="I429">
        <v>0</v>
      </c>
      <c r="J429">
        <v>0.262799</v>
      </c>
    </row>
    <row r="430" spans="1:10" x14ac:dyDescent="0.25">
      <c r="A430" t="s">
        <v>5</v>
      </c>
      <c r="B430" t="s">
        <v>78</v>
      </c>
      <c r="C430" s="9">
        <v>1991</v>
      </c>
      <c r="D430">
        <v>0.25663200000000003</v>
      </c>
      <c r="E430">
        <v>0</v>
      </c>
      <c r="F430">
        <v>0</v>
      </c>
      <c r="G430">
        <v>0</v>
      </c>
      <c r="H430">
        <v>0</v>
      </c>
      <c r="I430">
        <v>0</v>
      </c>
      <c r="J430">
        <v>0.25663200000000003</v>
      </c>
    </row>
    <row r="431" spans="1:10" x14ac:dyDescent="0.25">
      <c r="A431" t="s">
        <v>5</v>
      </c>
      <c r="B431" t="s">
        <v>78</v>
      </c>
      <c r="C431" s="9">
        <v>1992</v>
      </c>
      <c r="D431">
        <v>0.18455199999999999</v>
      </c>
      <c r="E431">
        <v>0</v>
      </c>
      <c r="F431">
        <v>0</v>
      </c>
      <c r="G431">
        <v>0</v>
      </c>
      <c r="H431">
        <v>0</v>
      </c>
      <c r="I431">
        <v>0</v>
      </c>
      <c r="J431">
        <v>0.18455199999999999</v>
      </c>
    </row>
    <row r="432" spans="1:10" x14ac:dyDescent="0.25">
      <c r="A432" t="s">
        <v>5</v>
      </c>
      <c r="B432" t="s">
        <v>78</v>
      </c>
      <c r="C432" s="9">
        <v>1993</v>
      </c>
      <c r="D432">
        <v>0.176707</v>
      </c>
      <c r="E432">
        <v>0</v>
      </c>
      <c r="F432">
        <v>0</v>
      </c>
      <c r="G432">
        <v>0</v>
      </c>
      <c r="H432">
        <v>0</v>
      </c>
      <c r="I432">
        <v>0</v>
      </c>
      <c r="J432">
        <v>0.176707</v>
      </c>
    </row>
    <row r="433" spans="1:10" x14ac:dyDescent="0.25">
      <c r="A433" t="s">
        <v>5</v>
      </c>
      <c r="B433" t="s">
        <v>78</v>
      </c>
      <c r="C433" s="9">
        <v>1994</v>
      </c>
      <c r="D433">
        <v>0.18854299999999999</v>
      </c>
      <c r="E433">
        <v>0</v>
      </c>
      <c r="F433">
        <v>0</v>
      </c>
      <c r="G433">
        <v>0</v>
      </c>
      <c r="H433">
        <v>0</v>
      </c>
      <c r="I433">
        <v>0</v>
      </c>
      <c r="J433">
        <v>0.18854299999999999</v>
      </c>
    </row>
    <row r="434" spans="1:10" x14ac:dyDescent="0.25">
      <c r="A434" t="s">
        <v>5</v>
      </c>
      <c r="B434" t="s">
        <v>78</v>
      </c>
      <c r="C434" s="9">
        <v>1995</v>
      </c>
      <c r="D434">
        <v>0.14730799999999999</v>
      </c>
      <c r="E434">
        <v>0</v>
      </c>
      <c r="F434">
        <v>0</v>
      </c>
      <c r="G434">
        <v>0</v>
      </c>
      <c r="H434">
        <v>0</v>
      </c>
      <c r="I434">
        <v>0</v>
      </c>
      <c r="J434">
        <v>0.14730799999999999</v>
      </c>
    </row>
    <row r="435" spans="1:10" x14ac:dyDescent="0.25">
      <c r="A435" t="s">
        <v>5</v>
      </c>
      <c r="B435" t="s">
        <v>78</v>
      </c>
      <c r="C435" s="9">
        <v>1996</v>
      </c>
      <c r="D435">
        <v>0.25834499999999999</v>
      </c>
      <c r="E435">
        <v>0</v>
      </c>
      <c r="F435">
        <v>0</v>
      </c>
      <c r="G435">
        <v>0</v>
      </c>
      <c r="H435">
        <v>0</v>
      </c>
      <c r="I435">
        <v>0</v>
      </c>
      <c r="J435">
        <v>0.25834499999999999</v>
      </c>
    </row>
    <row r="436" spans="1:10" x14ac:dyDescent="0.25">
      <c r="A436" t="s">
        <v>5</v>
      </c>
      <c r="B436" t="s">
        <v>78</v>
      </c>
      <c r="C436" s="9">
        <v>1997</v>
      </c>
      <c r="D436">
        <v>0.24748300000000001</v>
      </c>
      <c r="E436">
        <v>0</v>
      </c>
      <c r="F436">
        <v>0</v>
      </c>
      <c r="G436">
        <v>0</v>
      </c>
      <c r="H436">
        <v>0</v>
      </c>
      <c r="I436">
        <v>0</v>
      </c>
      <c r="J436">
        <v>0.24748300000000001</v>
      </c>
    </row>
    <row r="437" spans="1:10" x14ac:dyDescent="0.25">
      <c r="A437" t="s">
        <v>5</v>
      </c>
      <c r="B437" t="s">
        <v>78</v>
      </c>
      <c r="C437" s="9">
        <v>1998</v>
      </c>
      <c r="D437">
        <v>0.17943000000000001</v>
      </c>
      <c r="E437">
        <v>0</v>
      </c>
      <c r="F437">
        <v>0</v>
      </c>
      <c r="G437">
        <v>0</v>
      </c>
      <c r="H437">
        <v>0</v>
      </c>
      <c r="I437">
        <v>0</v>
      </c>
      <c r="J437">
        <v>0.17943000000000001</v>
      </c>
    </row>
    <row r="438" spans="1:10" x14ac:dyDescent="0.25">
      <c r="A438" t="s">
        <v>5</v>
      </c>
      <c r="B438" t="s">
        <v>78</v>
      </c>
      <c r="C438" s="9">
        <v>1999</v>
      </c>
      <c r="D438">
        <v>0.213474</v>
      </c>
      <c r="E438">
        <v>0</v>
      </c>
      <c r="F438">
        <v>0</v>
      </c>
      <c r="G438">
        <v>0</v>
      </c>
      <c r="H438">
        <v>0</v>
      </c>
      <c r="I438">
        <v>0</v>
      </c>
      <c r="J438">
        <v>0.213474</v>
      </c>
    </row>
    <row r="439" spans="1:10" x14ac:dyDescent="0.25">
      <c r="A439" t="s">
        <v>5</v>
      </c>
      <c r="B439" t="s">
        <v>78</v>
      </c>
      <c r="C439" s="9">
        <v>2000</v>
      </c>
      <c r="D439">
        <v>0.17144799999999999</v>
      </c>
      <c r="E439">
        <v>0</v>
      </c>
      <c r="F439">
        <v>0</v>
      </c>
      <c r="G439">
        <v>0</v>
      </c>
      <c r="H439">
        <v>0</v>
      </c>
      <c r="I439">
        <v>0</v>
      </c>
      <c r="J439">
        <v>0.17144799999999999</v>
      </c>
    </row>
    <row r="440" spans="1:10" x14ac:dyDescent="0.25">
      <c r="A440" t="s">
        <v>5</v>
      </c>
      <c r="B440" t="s">
        <v>78</v>
      </c>
      <c r="C440" s="9">
        <v>2001</v>
      </c>
      <c r="D440">
        <v>0.15426200000000001</v>
      </c>
      <c r="E440">
        <v>0</v>
      </c>
      <c r="F440">
        <v>0</v>
      </c>
      <c r="G440">
        <v>0</v>
      </c>
      <c r="H440">
        <v>0</v>
      </c>
      <c r="I440">
        <v>0</v>
      </c>
      <c r="J440">
        <v>0.15426200000000001</v>
      </c>
    </row>
    <row r="441" spans="1:10" x14ac:dyDescent="0.25">
      <c r="A441" t="s">
        <v>5</v>
      </c>
      <c r="B441" t="s">
        <v>78</v>
      </c>
      <c r="C441" s="9">
        <v>2002</v>
      </c>
      <c r="D441">
        <v>0.17281099999999999</v>
      </c>
      <c r="E441">
        <v>0</v>
      </c>
      <c r="F441">
        <v>0</v>
      </c>
      <c r="G441">
        <v>0</v>
      </c>
      <c r="H441">
        <v>0</v>
      </c>
      <c r="I441">
        <v>0</v>
      </c>
      <c r="J441">
        <v>0.17281099999999999</v>
      </c>
    </row>
    <row r="442" spans="1:10" x14ac:dyDescent="0.25">
      <c r="A442" t="s">
        <v>5</v>
      </c>
      <c r="B442" t="s">
        <v>78</v>
      </c>
      <c r="C442" s="9">
        <v>2003</v>
      </c>
      <c r="D442">
        <v>0.15365200000000001</v>
      </c>
      <c r="E442">
        <v>0</v>
      </c>
      <c r="F442">
        <v>0</v>
      </c>
      <c r="G442">
        <v>0</v>
      </c>
      <c r="H442">
        <v>0</v>
      </c>
      <c r="I442">
        <v>0</v>
      </c>
      <c r="J442">
        <v>0.15365200000000001</v>
      </c>
    </row>
    <row r="443" spans="1:10" x14ac:dyDescent="0.25">
      <c r="A443" t="s">
        <v>5</v>
      </c>
      <c r="B443" t="s">
        <v>78</v>
      </c>
      <c r="C443" s="9">
        <v>2004</v>
      </c>
      <c r="D443">
        <v>0.54689600000000005</v>
      </c>
      <c r="E443">
        <v>0</v>
      </c>
      <c r="F443">
        <v>0</v>
      </c>
      <c r="G443">
        <v>0</v>
      </c>
      <c r="H443">
        <v>0</v>
      </c>
      <c r="I443">
        <v>0</v>
      </c>
      <c r="J443">
        <v>0.54689600000000005</v>
      </c>
    </row>
    <row r="444" spans="1:10" x14ac:dyDescent="0.25">
      <c r="A444" t="s">
        <v>5</v>
      </c>
      <c r="B444" t="s">
        <v>78</v>
      </c>
      <c r="C444" s="9">
        <v>2005</v>
      </c>
      <c r="D444">
        <v>0.28424199999999999</v>
      </c>
      <c r="E444">
        <v>0</v>
      </c>
      <c r="F444">
        <v>0</v>
      </c>
      <c r="G444">
        <v>0</v>
      </c>
      <c r="H444">
        <v>0</v>
      </c>
      <c r="I444">
        <v>0</v>
      </c>
      <c r="J444">
        <v>0.28424199999999999</v>
      </c>
    </row>
    <row r="445" spans="1:10" x14ac:dyDescent="0.25">
      <c r="A445" t="s">
        <v>5</v>
      </c>
      <c r="B445" t="s">
        <v>78</v>
      </c>
      <c r="C445" s="9">
        <v>2006</v>
      </c>
      <c r="D445">
        <v>8.5457000000000005E-2</v>
      </c>
      <c r="E445">
        <v>0</v>
      </c>
      <c r="F445">
        <v>0</v>
      </c>
      <c r="G445">
        <v>0</v>
      </c>
      <c r="H445">
        <v>0</v>
      </c>
      <c r="I445">
        <v>0</v>
      </c>
      <c r="J445">
        <v>8.5457000000000005E-2</v>
      </c>
    </row>
    <row r="446" spans="1:10" x14ac:dyDescent="0.25">
      <c r="A446" t="s">
        <v>5</v>
      </c>
      <c r="B446" t="s">
        <v>78</v>
      </c>
      <c r="C446" s="9">
        <v>2007</v>
      </c>
      <c r="D446">
        <v>0.112819</v>
      </c>
      <c r="E446">
        <v>0</v>
      </c>
      <c r="F446">
        <v>0</v>
      </c>
      <c r="G446">
        <v>0</v>
      </c>
      <c r="H446">
        <v>0</v>
      </c>
      <c r="I446">
        <v>0</v>
      </c>
      <c r="J446">
        <v>0.112819</v>
      </c>
    </row>
    <row r="447" spans="1:10" x14ac:dyDescent="0.25">
      <c r="A447" t="s">
        <v>5</v>
      </c>
      <c r="B447" t="s">
        <v>78</v>
      </c>
      <c r="C447" s="9">
        <v>2008</v>
      </c>
      <c r="D447">
        <v>8.4254999999999997E-2</v>
      </c>
      <c r="E447">
        <v>0</v>
      </c>
      <c r="F447">
        <v>0</v>
      </c>
      <c r="G447">
        <v>0</v>
      </c>
      <c r="H447">
        <v>0</v>
      </c>
      <c r="I447">
        <v>0</v>
      </c>
      <c r="J447">
        <v>8.4254999999999997E-2</v>
      </c>
    </row>
    <row r="448" spans="1:10" x14ac:dyDescent="0.25">
      <c r="A448" t="s">
        <v>5</v>
      </c>
      <c r="B448" t="s">
        <v>78</v>
      </c>
      <c r="C448" s="9">
        <v>2009</v>
      </c>
      <c r="D448">
        <v>0.105908</v>
      </c>
      <c r="E448">
        <v>0</v>
      </c>
      <c r="F448">
        <v>0</v>
      </c>
      <c r="G448">
        <v>0</v>
      </c>
      <c r="H448">
        <v>0</v>
      </c>
      <c r="I448">
        <v>0</v>
      </c>
      <c r="J448">
        <v>0.105908</v>
      </c>
    </row>
    <row r="449" spans="1:10" x14ac:dyDescent="0.25">
      <c r="A449" t="s">
        <v>5</v>
      </c>
      <c r="B449" t="s">
        <v>78</v>
      </c>
      <c r="C449" s="9">
        <v>2010</v>
      </c>
      <c r="D449">
        <v>8.7387999999999993E-2</v>
      </c>
      <c r="E449">
        <v>0</v>
      </c>
      <c r="F449">
        <v>0</v>
      </c>
      <c r="G449">
        <v>0</v>
      </c>
      <c r="H449">
        <v>0</v>
      </c>
      <c r="I449">
        <v>0</v>
      </c>
      <c r="J449">
        <v>8.7387999999999993E-2</v>
      </c>
    </row>
    <row r="450" spans="1:10" x14ac:dyDescent="0.25">
      <c r="A450" t="s">
        <v>5</v>
      </c>
      <c r="B450" t="s">
        <v>78</v>
      </c>
      <c r="C450" s="9">
        <v>2011</v>
      </c>
      <c r="D450">
        <v>8.0870999999999998E-2</v>
      </c>
      <c r="E450">
        <v>0</v>
      </c>
      <c r="F450">
        <v>0</v>
      </c>
      <c r="G450">
        <v>0</v>
      </c>
      <c r="H450">
        <v>0</v>
      </c>
      <c r="I450">
        <v>0</v>
      </c>
      <c r="J450">
        <v>8.0870999999999998E-2</v>
      </c>
    </row>
    <row r="451" spans="1:10" x14ac:dyDescent="0.25">
      <c r="A451" t="s">
        <v>5</v>
      </c>
      <c r="B451" t="s">
        <v>78</v>
      </c>
      <c r="C451" s="9">
        <v>2012</v>
      </c>
      <c r="D451">
        <v>6.8371000000000001E-2</v>
      </c>
      <c r="E451">
        <v>0</v>
      </c>
      <c r="F451">
        <v>0</v>
      </c>
      <c r="G451">
        <v>0</v>
      </c>
      <c r="H451">
        <v>0</v>
      </c>
      <c r="I451">
        <v>0</v>
      </c>
      <c r="J451">
        <v>6.8371000000000001E-2</v>
      </c>
    </row>
    <row r="452" spans="1:10" x14ac:dyDescent="0.25">
      <c r="A452" t="s">
        <v>5</v>
      </c>
      <c r="B452" t="s">
        <v>78</v>
      </c>
      <c r="C452" s="9">
        <v>2013</v>
      </c>
      <c r="D452">
        <v>6.9100999999999996E-2</v>
      </c>
      <c r="E452">
        <v>0</v>
      </c>
      <c r="F452">
        <v>0</v>
      </c>
      <c r="G452">
        <v>0</v>
      </c>
      <c r="H452">
        <v>0</v>
      </c>
      <c r="I452">
        <v>0</v>
      </c>
      <c r="J452">
        <v>6.9100999999999996E-2</v>
      </c>
    </row>
    <row r="453" spans="1:10" x14ac:dyDescent="0.25">
      <c r="A453" t="s">
        <v>5</v>
      </c>
      <c r="B453" t="s">
        <v>78</v>
      </c>
      <c r="C453" s="9">
        <v>2014</v>
      </c>
      <c r="D453">
        <v>6.3289999999999999E-2</v>
      </c>
      <c r="E453">
        <v>0</v>
      </c>
      <c r="F453">
        <v>0</v>
      </c>
      <c r="G453">
        <v>0</v>
      </c>
      <c r="H453">
        <v>0</v>
      </c>
      <c r="I453">
        <v>0</v>
      </c>
      <c r="J453">
        <v>6.3289999999999999E-2</v>
      </c>
    </row>
    <row r="454" spans="1:10" x14ac:dyDescent="0.25">
      <c r="A454" t="s">
        <v>5</v>
      </c>
      <c r="B454" t="s">
        <v>78</v>
      </c>
      <c r="C454" s="9">
        <v>2015</v>
      </c>
      <c r="D454">
        <v>7.3441000000000006E-2</v>
      </c>
      <c r="E454">
        <v>0</v>
      </c>
      <c r="F454">
        <v>0</v>
      </c>
      <c r="G454">
        <v>0</v>
      </c>
      <c r="H454">
        <v>0</v>
      </c>
      <c r="I454">
        <v>0</v>
      </c>
      <c r="J454">
        <v>7.3441000000000006E-2</v>
      </c>
    </row>
    <row r="455" spans="1:10" x14ac:dyDescent="0.25">
      <c r="A455" t="s">
        <v>5</v>
      </c>
      <c r="B455" t="s">
        <v>78</v>
      </c>
      <c r="C455" s="9">
        <v>2016</v>
      </c>
      <c r="D455">
        <v>6.8292000000000005E-2</v>
      </c>
      <c r="E455">
        <v>0</v>
      </c>
      <c r="F455">
        <v>0</v>
      </c>
      <c r="G455">
        <v>0</v>
      </c>
      <c r="H455">
        <v>0</v>
      </c>
      <c r="I455">
        <v>0</v>
      </c>
      <c r="J455">
        <v>6.8292000000000005E-2</v>
      </c>
    </row>
    <row r="456" spans="1:10" x14ac:dyDescent="0.25">
      <c r="A456" t="s">
        <v>5</v>
      </c>
      <c r="B456" t="s">
        <v>78</v>
      </c>
      <c r="C456" s="9">
        <v>2017</v>
      </c>
      <c r="D456">
        <v>6.8174999999999999E-2</v>
      </c>
      <c r="E456">
        <v>0</v>
      </c>
      <c r="F456">
        <v>0</v>
      </c>
      <c r="G456">
        <v>0</v>
      </c>
      <c r="H456">
        <v>0</v>
      </c>
      <c r="I456">
        <v>0</v>
      </c>
      <c r="J456">
        <v>6.8174999999999999E-2</v>
      </c>
    </row>
    <row r="457" spans="1:10" x14ac:dyDescent="0.25">
      <c r="A457" t="s">
        <v>5</v>
      </c>
      <c r="B457" t="s">
        <v>78</v>
      </c>
      <c r="C457" s="9">
        <v>1990</v>
      </c>
      <c r="D457">
        <v>0</v>
      </c>
      <c r="E457">
        <v>12.838578999999999</v>
      </c>
      <c r="F457">
        <v>0</v>
      </c>
      <c r="G457">
        <v>0</v>
      </c>
      <c r="H457">
        <v>0</v>
      </c>
      <c r="I457">
        <v>0</v>
      </c>
      <c r="J457">
        <v>12.838578999999999</v>
      </c>
    </row>
    <row r="458" spans="1:10" x14ac:dyDescent="0.25">
      <c r="A458" t="s">
        <v>5</v>
      </c>
      <c r="B458" t="s">
        <v>78</v>
      </c>
      <c r="C458" s="9">
        <v>1991</v>
      </c>
      <c r="D458">
        <v>0</v>
      </c>
      <c r="E458">
        <v>15.532095999999999</v>
      </c>
      <c r="F458">
        <v>0</v>
      </c>
      <c r="G458">
        <v>0</v>
      </c>
      <c r="H458">
        <v>0</v>
      </c>
      <c r="I458">
        <v>0</v>
      </c>
      <c r="J458">
        <v>15.532095999999999</v>
      </c>
    </row>
    <row r="459" spans="1:10" x14ac:dyDescent="0.25">
      <c r="A459" t="s">
        <v>5</v>
      </c>
      <c r="B459" t="s">
        <v>78</v>
      </c>
      <c r="C459" s="9">
        <v>1992</v>
      </c>
      <c r="D459">
        <v>0</v>
      </c>
      <c r="E459">
        <v>11.986488</v>
      </c>
      <c r="F459">
        <v>0</v>
      </c>
      <c r="G459">
        <v>0</v>
      </c>
      <c r="H459">
        <v>0</v>
      </c>
      <c r="I459">
        <v>0</v>
      </c>
      <c r="J459">
        <v>11.986488</v>
      </c>
    </row>
    <row r="460" spans="1:10" x14ac:dyDescent="0.25">
      <c r="A460" t="s">
        <v>5</v>
      </c>
      <c r="B460" t="s">
        <v>78</v>
      </c>
      <c r="C460" s="9">
        <v>1993</v>
      </c>
      <c r="D460">
        <v>0</v>
      </c>
      <c r="E460">
        <v>12.562552999999999</v>
      </c>
      <c r="F460">
        <v>0</v>
      </c>
      <c r="G460">
        <v>0</v>
      </c>
      <c r="H460">
        <v>0</v>
      </c>
      <c r="I460">
        <v>0</v>
      </c>
      <c r="J460">
        <v>12.562552999999999</v>
      </c>
    </row>
    <row r="461" spans="1:10" x14ac:dyDescent="0.25">
      <c r="A461" t="s">
        <v>5</v>
      </c>
      <c r="B461" t="s">
        <v>78</v>
      </c>
      <c r="C461" s="9">
        <v>1994</v>
      </c>
      <c r="D461">
        <v>0</v>
      </c>
      <c r="E461">
        <v>12.355816000000001</v>
      </c>
      <c r="F461">
        <v>0</v>
      </c>
      <c r="G461">
        <v>0</v>
      </c>
      <c r="H461">
        <v>0</v>
      </c>
      <c r="I461">
        <v>0</v>
      </c>
      <c r="J461">
        <v>12.355816000000001</v>
      </c>
    </row>
    <row r="462" spans="1:10" x14ac:dyDescent="0.25">
      <c r="A462" t="s">
        <v>5</v>
      </c>
      <c r="B462" t="s">
        <v>78</v>
      </c>
      <c r="C462" s="9">
        <v>1995</v>
      </c>
      <c r="D462">
        <v>0</v>
      </c>
      <c r="E462">
        <v>8.9680420000000005</v>
      </c>
      <c r="F462">
        <v>0</v>
      </c>
      <c r="G462">
        <v>0</v>
      </c>
      <c r="H462">
        <v>0</v>
      </c>
      <c r="I462">
        <v>0</v>
      </c>
      <c r="J462">
        <v>8.9680420000000005</v>
      </c>
    </row>
    <row r="463" spans="1:10" x14ac:dyDescent="0.25">
      <c r="A463" t="s">
        <v>5</v>
      </c>
      <c r="B463" t="s">
        <v>78</v>
      </c>
      <c r="C463" s="9">
        <v>1996</v>
      </c>
      <c r="D463">
        <v>0</v>
      </c>
      <c r="E463">
        <v>12.269354999999999</v>
      </c>
      <c r="F463">
        <v>0</v>
      </c>
      <c r="G463">
        <v>0</v>
      </c>
      <c r="H463">
        <v>0</v>
      </c>
      <c r="I463">
        <v>0</v>
      </c>
      <c r="J463">
        <v>12.269354999999999</v>
      </c>
    </row>
    <row r="464" spans="1:10" x14ac:dyDescent="0.25">
      <c r="A464" t="s">
        <v>5</v>
      </c>
      <c r="B464" t="s">
        <v>78</v>
      </c>
      <c r="C464" s="9">
        <v>1997</v>
      </c>
      <c r="D464">
        <v>0</v>
      </c>
      <c r="E464">
        <v>14.981498</v>
      </c>
      <c r="F464">
        <v>0</v>
      </c>
      <c r="G464">
        <v>0</v>
      </c>
      <c r="H464">
        <v>0</v>
      </c>
      <c r="I464">
        <v>0</v>
      </c>
      <c r="J464">
        <v>14.981498</v>
      </c>
    </row>
    <row r="465" spans="1:10" x14ac:dyDescent="0.25">
      <c r="A465" t="s">
        <v>5</v>
      </c>
      <c r="B465" t="s">
        <v>78</v>
      </c>
      <c r="C465" s="9">
        <v>1998</v>
      </c>
      <c r="D465">
        <v>0</v>
      </c>
      <c r="E465">
        <v>18.441240000000001</v>
      </c>
      <c r="F465">
        <v>0</v>
      </c>
      <c r="G465">
        <v>0</v>
      </c>
      <c r="H465">
        <v>0</v>
      </c>
      <c r="I465">
        <v>0</v>
      </c>
      <c r="J465">
        <v>18.441240000000001</v>
      </c>
    </row>
    <row r="466" spans="1:10" x14ac:dyDescent="0.25">
      <c r="A466" t="s">
        <v>5</v>
      </c>
      <c r="B466" t="s">
        <v>78</v>
      </c>
      <c r="C466" s="9">
        <v>1999</v>
      </c>
      <c r="D466">
        <v>0</v>
      </c>
      <c r="E466">
        <v>17.287158000000002</v>
      </c>
      <c r="F466">
        <v>0</v>
      </c>
      <c r="G466">
        <v>0</v>
      </c>
      <c r="H466">
        <v>0</v>
      </c>
      <c r="I466">
        <v>0</v>
      </c>
      <c r="J466">
        <v>17.287158000000002</v>
      </c>
    </row>
    <row r="467" spans="1:10" x14ac:dyDescent="0.25">
      <c r="A467" t="s">
        <v>5</v>
      </c>
      <c r="B467" t="s">
        <v>78</v>
      </c>
      <c r="C467" s="9">
        <v>2000</v>
      </c>
      <c r="D467">
        <v>0</v>
      </c>
      <c r="E467">
        <v>16.591564000000002</v>
      </c>
      <c r="F467">
        <v>0</v>
      </c>
      <c r="G467">
        <v>0</v>
      </c>
      <c r="H467">
        <v>0</v>
      </c>
      <c r="I467">
        <v>0</v>
      </c>
      <c r="J467">
        <v>16.591564000000002</v>
      </c>
    </row>
    <row r="468" spans="1:10" x14ac:dyDescent="0.25">
      <c r="A468" t="s">
        <v>5</v>
      </c>
      <c r="B468" t="s">
        <v>78</v>
      </c>
      <c r="C468" s="9">
        <v>2001</v>
      </c>
      <c r="D468">
        <v>0</v>
      </c>
      <c r="E468">
        <v>14.351115</v>
      </c>
      <c r="F468">
        <v>0</v>
      </c>
      <c r="G468">
        <v>0</v>
      </c>
      <c r="H468">
        <v>0</v>
      </c>
      <c r="I468">
        <v>0</v>
      </c>
      <c r="J468">
        <v>14.351115</v>
      </c>
    </row>
    <row r="469" spans="1:10" x14ac:dyDescent="0.25">
      <c r="A469" t="s">
        <v>5</v>
      </c>
      <c r="B469" t="s">
        <v>78</v>
      </c>
      <c r="C469" s="9">
        <v>2002</v>
      </c>
      <c r="D469">
        <v>0</v>
      </c>
      <c r="E469">
        <v>15.292441</v>
      </c>
      <c r="F469">
        <v>0</v>
      </c>
      <c r="G469">
        <v>0</v>
      </c>
      <c r="H469">
        <v>0</v>
      </c>
      <c r="I469">
        <v>0</v>
      </c>
      <c r="J469">
        <v>15.292441</v>
      </c>
    </row>
    <row r="470" spans="1:10" x14ac:dyDescent="0.25">
      <c r="A470" t="s">
        <v>5</v>
      </c>
      <c r="B470" t="s">
        <v>78</v>
      </c>
      <c r="C470" s="9">
        <v>2003</v>
      </c>
      <c r="D470">
        <v>0</v>
      </c>
      <c r="E470">
        <v>20.420157</v>
      </c>
      <c r="F470">
        <v>0</v>
      </c>
      <c r="G470">
        <v>0</v>
      </c>
      <c r="H470">
        <v>0</v>
      </c>
      <c r="I470">
        <v>0</v>
      </c>
      <c r="J470">
        <v>20.420157</v>
      </c>
    </row>
    <row r="471" spans="1:10" x14ac:dyDescent="0.25">
      <c r="A471" t="s">
        <v>5</v>
      </c>
      <c r="B471" t="s">
        <v>78</v>
      </c>
      <c r="C471" s="9">
        <v>2004</v>
      </c>
      <c r="D471">
        <v>0</v>
      </c>
      <c r="E471">
        <v>24.664023</v>
      </c>
      <c r="F471">
        <v>0</v>
      </c>
      <c r="G471">
        <v>0</v>
      </c>
      <c r="H471">
        <v>0</v>
      </c>
      <c r="I471">
        <v>0</v>
      </c>
      <c r="J471">
        <v>24.664023</v>
      </c>
    </row>
    <row r="472" spans="1:10" x14ac:dyDescent="0.25">
      <c r="A472" t="s">
        <v>5</v>
      </c>
      <c r="B472" t="s">
        <v>78</v>
      </c>
      <c r="C472" s="9">
        <v>2005</v>
      </c>
      <c r="D472">
        <v>0</v>
      </c>
      <c r="E472">
        <v>22.914579</v>
      </c>
      <c r="F472">
        <v>0</v>
      </c>
      <c r="G472">
        <v>0</v>
      </c>
      <c r="H472">
        <v>0</v>
      </c>
      <c r="I472">
        <v>0</v>
      </c>
      <c r="J472">
        <v>22.914579</v>
      </c>
    </row>
    <row r="473" spans="1:10" x14ac:dyDescent="0.25">
      <c r="A473" t="s">
        <v>5</v>
      </c>
      <c r="B473" t="s">
        <v>78</v>
      </c>
      <c r="C473" s="9">
        <v>2006</v>
      </c>
      <c r="D473">
        <v>0</v>
      </c>
      <c r="E473">
        <v>33.068438999999998</v>
      </c>
      <c r="F473">
        <v>0</v>
      </c>
      <c r="G473">
        <v>0</v>
      </c>
      <c r="H473">
        <v>0</v>
      </c>
      <c r="I473">
        <v>0</v>
      </c>
      <c r="J473">
        <v>33.068438999999998</v>
      </c>
    </row>
    <row r="474" spans="1:10" x14ac:dyDescent="0.25">
      <c r="A474" t="s">
        <v>5</v>
      </c>
      <c r="B474" t="s">
        <v>78</v>
      </c>
      <c r="C474" s="9">
        <v>2007</v>
      </c>
      <c r="D474">
        <v>0</v>
      </c>
      <c r="E474">
        <v>33.301971999999999</v>
      </c>
      <c r="F474">
        <v>0</v>
      </c>
      <c r="G474">
        <v>0</v>
      </c>
      <c r="H474">
        <v>0</v>
      </c>
      <c r="I474">
        <v>0</v>
      </c>
      <c r="J474">
        <v>33.301971999999999</v>
      </c>
    </row>
    <row r="475" spans="1:10" x14ac:dyDescent="0.25">
      <c r="A475" t="s">
        <v>5</v>
      </c>
      <c r="B475" t="s">
        <v>78</v>
      </c>
      <c r="C475" s="9">
        <v>2008</v>
      </c>
      <c r="D475">
        <v>0</v>
      </c>
      <c r="E475">
        <v>30.26681</v>
      </c>
      <c r="F475">
        <v>0</v>
      </c>
      <c r="G475">
        <v>0</v>
      </c>
      <c r="H475">
        <v>0</v>
      </c>
      <c r="I475">
        <v>0</v>
      </c>
      <c r="J475">
        <v>30.26681</v>
      </c>
    </row>
    <row r="476" spans="1:10" x14ac:dyDescent="0.25">
      <c r="A476" t="s">
        <v>5</v>
      </c>
      <c r="B476" t="s">
        <v>78</v>
      </c>
      <c r="C476" s="9">
        <v>2009</v>
      </c>
      <c r="D476">
        <v>0</v>
      </c>
      <c r="E476">
        <v>32.901736999999997</v>
      </c>
      <c r="F476">
        <v>0</v>
      </c>
      <c r="G476">
        <v>0</v>
      </c>
      <c r="H476">
        <v>0</v>
      </c>
      <c r="I476">
        <v>0</v>
      </c>
      <c r="J476">
        <v>32.901736999999997</v>
      </c>
    </row>
    <row r="477" spans="1:10" x14ac:dyDescent="0.25">
      <c r="A477" t="s">
        <v>5</v>
      </c>
      <c r="B477" t="s">
        <v>78</v>
      </c>
      <c r="C477" s="9">
        <v>2010</v>
      </c>
      <c r="D477">
        <v>0</v>
      </c>
      <c r="E477">
        <v>31.190567000000001</v>
      </c>
      <c r="F477">
        <v>0</v>
      </c>
      <c r="G477">
        <v>0</v>
      </c>
      <c r="H477">
        <v>0</v>
      </c>
      <c r="I477">
        <v>0</v>
      </c>
      <c r="J477">
        <v>31.190567000000001</v>
      </c>
    </row>
    <row r="478" spans="1:10" x14ac:dyDescent="0.25">
      <c r="A478" t="s">
        <v>5</v>
      </c>
      <c r="B478" t="s">
        <v>78</v>
      </c>
      <c r="C478" s="9">
        <v>2011</v>
      </c>
      <c r="D478">
        <v>0</v>
      </c>
      <c r="E478">
        <v>31.805211</v>
      </c>
      <c r="F478">
        <v>0</v>
      </c>
      <c r="G478">
        <v>0</v>
      </c>
      <c r="H478">
        <v>0</v>
      </c>
      <c r="I478">
        <v>0</v>
      </c>
      <c r="J478">
        <v>31.805211</v>
      </c>
    </row>
    <row r="479" spans="1:10" x14ac:dyDescent="0.25">
      <c r="A479" t="s">
        <v>5</v>
      </c>
      <c r="B479" t="s">
        <v>78</v>
      </c>
      <c r="C479" s="9">
        <v>2012</v>
      </c>
      <c r="D479">
        <v>0</v>
      </c>
      <c r="E479">
        <v>29.701974</v>
      </c>
      <c r="F479">
        <v>0</v>
      </c>
      <c r="G479">
        <v>0</v>
      </c>
      <c r="H479">
        <v>0</v>
      </c>
      <c r="I479">
        <v>0</v>
      </c>
      <c r="J479">
        <v>29.701974</v>
      </c>
    </row>
    <row r="480" spans="1:10" x14ac:dyDescent="0.25">
      <c r="A480" t="s">
        <v>5</v>
      </c>
      <c r="B480" t="s">
        <v>78</v>
      </c>
      <c r="C480" s="9">
        <v>2013</v>
      </c>
      <c r="D480">
        <v>0</v>
      </c>
      <c r="E480">
        <v>30.914988000000001</v>
      </c>
      <c r="F480">
        <v>0</v>
      </c>
      <c r="G480">
        <v>0</v>
      </c>
      <c r="H480">
        <v>0</v>
      </c>
      <c r="I480">
        <v>0</v>
      </c>
      <c r="J480">
        <v>30.914988000000001</v>
      </c>
    </row>
    <row r="481" spans="1:10" x14ac:dyDescent="0.25">
      <c r="A481" t="s">
        <v>5</v>
      </c>
      <c r="B481" t="s">
        <v>78</v>
      </c>
      <c r="C481" s="9">
        <v>2014</v>
      </c>
      <c r="D481">
        <v>0</v>
      </c>
      <c r="E481">
        <v>28.793589000000001</v>
      </c>
      <c r="F481">
        <v>0</v>
      </c>
      <c r="G481">
        <v>0</v>
      </c>
      <c r="H481">
        <v>0</v>
      </c>
      <c r="I481">
        <v>0</v>
      </c>
      <c r="J481">
        <v>28.793589000000001</v>
      </c>
    </row>
    <row r="482" spans="1:10" x14ac:dyDescent="0.25">
      <c r="A482" t="s">
        <v>5</v>
      </c>
      <c r="B482" t="s">
        <v>78</v>
      </c>
      <c r="C482" s="9">
        <v>2015</v>
      </c>
      <c r="D482">
        <v>0</v>
      </c>
      <c r="E482">
        <v>29.868231999999999</v>
      </c>
      <c r="F482">
        <v>0</v>
      </c>
      <c r="G482">
        <v>0</v>
      </c>
      <c r="H482">
        <v>0</v>
      </c>
      <c r="I482">
        <v>0</v>
      </c>
      <c r="J482">
        <v>29.868231999999999</v>
      </c>
    </row>
    <row r="483" spans="1:10" x14ac:dyDescent="0.25">
      <c r="A483" t="s">
        <v>5</v>
      </c>
      <c r="B483" t="s">
        <v>78</v>
      </c>
      <c r="C483" s="9">
        <v>2016</v>
      </c>
      <c r="D483">
        <v>0</v>
      </c>
      <c r="E483">
        <v>30.162979</v>
      </c>
      <c r="F483">
        <v>0</v>
      </c>
      <c r="G483">
        <v>0</v>
      </c>
      <c r="H483">
        <v>0</v>
      </c>
      <c r="I483">
        <v>0</v>
      </c>
      <c r="J483">
        <v>30.162979</v>
      </c>
    </row>
    <row r="484" spans="1:10" x14ac:dyDescent="0.25">
      <c r="A484" t="s">
        <v>5</v>
      </c>
      <c r="B484" t="s">
        <v>78</v>
      </c>
      <c r="C484" s="9">
        <v>2017</v>
      </c>
      <c r="D484">
        <v>0</v>
      </c>
      <c r="E484">
        <v>31.447499000000001</v>
      </c>
      <c r="F484">
        <v>0</v>
      </c>
      <c r="G484">
        <v>0</v>
      </c>
      <c r="H484">
        <v>0</v>
      </c>
      <c r="I484">
        <v>0</v>
      </c>
      <c r="J484">
        <v>31.447499000000001</v>
      </c>
    </row>
    <row r="485" spans="1:10" x14ac:dyDescent="0.25">
      <c r="A485" t="s">
        <v>5</v>
      </c>
      <c r="B485" t="s">
        <v>78</v>
      </c>
      <c r="C485" s="9">
        <v>1990</v>
      </c>
      <c r="D485">
        <v>0</v>
      </c>
      <c r="E485">
        <v>0</v>
      </c>
      <c r="F485">
        <v>0</v>
      </c>
      <c r="G485">
        <v>0.59949300000000005</v>
      </c>
      <c r="H485">
        <v>0</v>
      </c>
      <c r="I485">
        <v>0</v>
      </c>
      <c r="J485">
        <v>0.59949300000000005</v>
      </c>
    </row>
    <row r="486" spans="1:10" x14ac:dyDescent="0.25">
      <c r="A486" t="s">
        <v>5</v>
      </c>
      <c r="B486" t="s">
        <v>78</v>
      </c>
      <c r="C486" s="9">
        <v>1991</v>
      </c>
      <c r="D486">
        <v>0</v>
      </c>
      <c r="E486">
        <v>0</v>
      </c>
      <c r="F486">
        <v>0</v>
      </c>
      <c r="G486">
        <v>0.82508700000000001</v>
      </c>
      <c r="H486">
        <v>0</v>
      </c>
      <c r="I486">
        <v>0</v>
      </c>
      <c r="J486">
        <v>0.82508700000000001</v>
      </c>
    </row>
    <row r="487" spans="1:10" x14ac:dyDescent="0.25">
      <c r="A487" t="s">
        <v>5</v>
      </c>
      <c r="B487" t="s">
        <v>78</v>
      </c>
      <c r="C487" s="9">
        <v>1992</v>
      </c>
      <c r="D487">
        <v>0</v>
      </c>
      <c r="E487">
        <v>0</v>
      </c>
      <c r="F487">
        <v>0</v>
      </c>
      <c r="G487">
        <v>7.7634889999999999</v>
      </c>
      <c r="H487">
        <v>0</v>
      </c>
      <c r="I487">
        <v>0</v>
      </c>
      <c r="J487">
        <v>7.7634889999999999</v>
      </c>
    </row>
    <row r="488" spans="1:10" x14ac:dyDescent="0.25">
      <c r="A488" t="s">
        <v>5</v>
      </c>
      <c r="B488" t="s">
        <v>78</v>
      </c>
      <c r="C488" s="9">
        <v>1993</v>
      </c>
      <c r="D488">
        <v>0</v>
      </c>
      <c r="E488">
        <v>0</v>
      </c>
      <c r="F488">
        <v>0</v>
      </c>
      <c r="G488">
        <v>9.8292389999999994</v>
      </c>
      <c r="H488">
        <v>0</v>
      </c>
      <c r="I488">
        <v>0</v>
      </c>
      <c r="J488">
        <v>9.8292389999999994</v>
      </c>
    </row>
    <row r="489" spans="1:10" x14ac:dyDescent="0.25">
      <c r="A489" t="s">
        <v>5</v>
      </c>
      <c r="B489" t="s">
        <v>78</v>
      </c>
      <c r="C489" s="9">
        <v>1994</v>
      </c>
      <c r="D489">
        <v>0</v>
      </c>
      <c r="E489">
        <v>0</v>
      </c>
      <c r="F489">
        <v>0</v>
      </c>
      <c r="G489">
        <v>8.4853050000000003</v>
      </c>
      <c r="H489">
        <v>0</v>
      </c>
      <c r="I489">
        <v>0</v>
      </c>
      <c r="J489">
        <v>8.4853050000000003</v>
      </c>
    </row>
    <row r="490" spans="1:10" x14ac:dyDescent="0.25">
      <c r="A490" t="s">
        <v>5</v>
      </c>
      <c r="B490" t="s">
        <v>78</v>
      </c>
      <c r="C490" s="9">
        <v>1995</v>
      </c>
      <c r="D490">
        <v>0</v>
      </c>
      <c r="E490">
        <v>0</v>
      </c>
      <c r="F490">
        <v>0</v>
      </c>
      <c r="G490">
        <v>10.691739</v>
      </c>
      <c r="H490">
        <v>0</v>
      </c>
      <c r="I490">
        <v>0</v>
      </c>
      <c r="J490">
        <v>10.691739</v>
      </c>
    </row>
    <row r="491" spans="1:10" x14ac:dyDescent="0.25">
      <c r="A491" t="s">
        <v>5</v>
      </c>
      <c r="B491" t="s">
        <v>78</v>
      </c>
      <c r="C491" s="9">
        <v>1996</v>
      </c>
      <c r="D491">
        <v>0</v>
      </c>
      <c r="E491">
        <v>0</v>
      </c>
      <c r="F491">
        <v>0</v>
      </c>
      <c r="G491">
        <v>15.521455</v>
      </c>
      <c r="H491">
        <v>0</v>
      </c>
      <c r="I491">
        <v>0</v>
      </c>
      <c r="J491">
        <v>15.521455</v>
      </c>
    </row>
    <row r="492" spans="1:10" x14ac:dyDescent="0.25">
      <c r="A492" t="s">
        <v>5</v>
      </c>
      <c r="B492" t="s">
        <v>78</v>
      </c>
      <c r="C492" s="9">
        <v>1997</v>
      </c>
      <c r="D492">
        <v>0</v>
      </c>
      <c r="E492">
        <v>0</v>
      </c>
      <c r="F492">
        <v>0</v>
      </c>
      <c r="G492">
        <v>17.436069</v>
      </c>
      <c r="H492">
        <v>0</v>
      </c>
      <c r="I492">
        <v>0</v>
      </c>
      <c r="J492">
        <v>17.436069</v>
      </c>
    </row>
    <row r="493" spans="1:10" x14ac:dyDescent="0.25">
      <c r="A493" t="s">
        <v>5</v>
      </c>
      <c r="B493" t="s">
        <v>78</v>
      </c>
      <c r="C493" s="9">
        <v>1998</v>
      </c>
      <c r="D493">
        <v>0</v>
      </c>
      <c r="E493">
        <v>0</v>
      </c>
      <c r="F493">
        <v>0</v>
      </c>
      <c r="G493">
        <v>14.02373</v>
      </c>
      <c r="H493">
        <v>0</v>
      </c>
      <c r="I493">
        <v>0</v>
      </c>
      <c r="J493">
        <v>14.02373</v>
      </c>
    </row>
    <row r="494" spans="1:10" x14ac:dyDescent="0.25">
      <c r="A494" t="s">
        <v>5</v>
      </c>
      <c r="B494" t="s">
        <v>78</v>
      </c>
      <c r="C494" s="9">
        <v>1999</v>
      </c>
      <c r="D494">
        <v>0</v>
      </c>
      <c r="E494">
        <v>0</v>
      </c>
      <c r="F494">
        <v>0</v>
      </c>
      <c r="G494">
        <v>17.211617</v>
      </c>
      <c r="H494">
        <v>0</v>
      </c>
      <c r="I494">
        <v>0</v>
      </c>
      <c r="J494">
        <v>17.211617</v>
      </c>
    </row>
    <row r="495" spans="1:10" x14ac:dyDescent="0.25">
      <c r="A495" t="s">
        <v>5</v>
      </c>
      <c r="B495" t="s">
        <v>78</v>
      </c>
      <c r="C495" s="9">
        <v>2000</v>
      </c>
      <c r="D495">
        <v>0</v>
      </c>
      <c r="E495">
        <v>0</v>
      </c>
      <c r="F495">
        <v>0</v>
      </c>
      <c r="G495">
        <v>20.443619000000002</v>
      </c>
      <c r="H495">
        <v>0</v>
      </c>
      <c r="I495">
        <v>0</v>
      </c>
      <c r="J495">
        <v>20.443619000000002</v>
      </c>
    </row>
    <row r="496" spans="1:10" x14ac:dyDescent="0.25">
      <c r="A496" t="s">
        <v>5</v>
      </c>
      <c r="B496" t="s">
        <v>78</v>
      </c>
      <c r="C496" s="9">
        <v>2001</v>
      </c>
      <c r="D496">
        <v>0</v>
      </c>
      <c r="E496">
        <v>0</v>
      </c>
      <c r="F496">
        <v>0</v>
      </c>
      <c r="G496">
        <v>14.890981999999999</v>
      </c>
      <c r="H496">
        <v>0</v>
      </c>
      <c r="I496">
        <v>0</v>
      </c>
      <c r="J496">
        <v>14.890981999999999</v>
      </c>
    </row>
    <row r="497" spans="1:10" x14ac:dyDescent="0.25">
      <c r="A497" t="s">
        <v>5</v>
      </c>
      <c r="B497" t="s">
        <v>78</v>
      </c>
      <c r="C497" s="9">
        <v>2002</v>
      </c>
      <c r="D497">
        <v>0</v>
      </c>
      <c r="E497">
        <v>0</v>
      </c>
      <c r="F497">
        <v>0</v>
      </c>
      <c r="G497">
        <v>16.963170000000002</v>
      </c>
      <c r="H497">
        <v>0</v>
      </c>
      <c r="I497">
        <v>0</v>
      </c>
      <c r="J497">
        <v>16.963170000000002</v>
      </c>
    </row>
    <row r="498" spans="1:10" x14ac:dyDescent="0.25">
      <c r="A498" t="s">
        <v>5</v>
      </c>
      <c r="B498" t="s">
        <v>78</v>
      </c>
      <c r="C498" s="9">
        <v>2003</v>
      </c>
      <c r="D498">
        <v>0</v>
      </c>
      <c r="E498">
        <v>0</v>
      </c>
      <c r="F498">
        <v>0</v>
      </c>
      <c r="G498">
        <v>15.777010000000001</v>
      </c>
      <c r="H498">
        <v>0</v>
      </c>
      <c r="I498">
        <v>0</v>
      </c>
      <c r="J498">
        <v>15.777010000000001</v>
      </c>
    </row>
    <row r="499" spans="1:10" x14ac:dyDescent="0.25">
      <c r="A499" t="s">
        <v>5</v>
      </c>
      <c r="B499" t="s">
        <v>78</v>
      </c>
      <c r="C499" s="9">
        <v>2004</v>
      </c>
      <c r="D499">
        <v>0</v>
      </c>
      <c r="E499">
        <v>0</v>
      </c>
      <c r="F499">
        <v>0</v>
      </c>
      <c r="G499">
        <v>8.1837520000000001</v>
      </c>
      <c r="H499">
        <v>0</v>
      </c>
      <c r="I499">
        <v>0</v>
      </c>
      <c r="J499">
        <v>8.1837520000000001</v>
      </c>
    </row>
    <row r="500" spans="1:10" x14ac:dyDescent="0.25">
      <c r="A500" t="s">
        <v>5</v>
      </c>
      <c r="B500" t="s">
        <v>78</v>
      </c>
      <c r="C500" s="9">
        <v>2005</v>
      </c>
      <c r="D500">
        <v>0</v>
      </c>
      <c r="E500">
        <v>0</v>
      </c>
      <c r="F500">
        <v>0</v>
      </c>
      <c r="G500">
        <v>1.783158</v>
      </c>
      <c r="H500">
        <v>0</v>
      </c>
      <c r="I500">
        <v>0</v>
      </c>
      <c r="J500">
        <v>1.783158</v>
      </c>
    </row>
    <row r="501" spans="1:10" x14ac:dyDescent="0.25">
      <c r="A501" t="s">
        <v>5</v>
      </c>
      <c r="B501" t="s">
        <v>78</v>
      </c>
      <c r="C501" s="9">
        <v>2006</v>
      </c>
      <c r="D501">
        <v>0</v>
      </c>
      <c r="E501">
        <v>0</v>
      </c>
      <c r="F501">
        <v>0</v>
      </c>
      <c r="G501">
        <v>6.7609009999999996</v>
      </c>
      <c r="H501">
        <v>0</v>
      </c>
      <c r="I501">
        <v>0</v>
      </c>
      <c r="J501">
        <v>6.7609009999999996</v>
      </c>
    </row>
    <row r="502" spans="1:10" x14ac:dyDescent="0.25">
      <c r="A502" t="s">
        <v>5</v>
      </c>
      <c r="B502" t="s">
        <v>78</v>
      </c>
      <c r="C502" s="9">
        <v>2007</v>
      </c>
      <c r="D502">
        <v>0</v>
      </c>
      <c r="E502">
        <v>0</v>
      </c>
      <c r="F502">
        <v>0</v>
      </c>
      <c r="G502">
        <v>1.6506000000000001</v>
      </c>
      <c r="H502">
        <v>0</v>
      </c>
      <c r="I502">
        <v>0</v>
      </c>
      <c r="J502">
        <v>1.6506000000000001</v>
      </c>
    </row>
    <row r="503" spans="1:10" x14ac:dyDescent="0.25">
      <c r="A503" t="s">
        <v>5</v>
      </c>
      <c r="B503" t="s">
        <v>78</v>
      </c>
      <c r="C503" s="9">
        <v>2008</v>
      </c>
      <c r="D503">
        <v>0</v>
      </c>
      <c r="E503">
        <v>0</v>
      </c>
      <c r="F503">
        <v>0</v>
      </c>
      <c r="G503">
        <v>3.8350010000000001</v>
      </c>
      <c r="H503">
        <v>0</v>
      </c>
      <c r="I503">
        <v>0</v>
      </c>
      <c r="J503">
        <v>3.8350010000000001</v>
      </c>
    </row>
    <row r="504" spans="1:10" x14ac:dyDescent="0.25">
      <c r="A504" t="s">
        <v>5</v>
      </c>
      <c r="B504" t="s">
        <v>78</v>
      </c>
      <c r="C504" s="9">
        <v>2009</v>
      </c>
      <c r="D504">
        <v>0</v>
      </c>
      <c r="E504">
        <v>0</v>
      </c>
      <c r="F504">
        <v>0</v>
      </c>
      <c r="G504">
        <v>2.3300839999999998</v>
      </c>
      <c r="H504">
        <v>0</v>
      </c>
      <c r="I504">
        <v>0</v>
      </c>
      <c r="J504">
        <v>2.3300839999999998</v>
      </c>
    </row>
    <row r="505" spans="1:10" x14ac:dyDescent="0.25">
      <c r="A505" t="s">
        <v>5</v>
      </c>
      <c r="B505" t="s">
        <v>78</v>
      </c>
      <c r="C505" s="9">
        <v>2010</v>
      </c>
      <c r="D505">
        <v>0</v>
      </c>
      <c r="E505">
        <v>0</v>
      </c>
      <c r="F505">
        <v>0</v>
      </c>
      <c r="G505">
        <v>2.4432960000000001</v>
      </c>
      <c r="H505">
        <v>0</v>
      </c>
      <c r="I505">
        <v>0</v>
      </c>
      <c r="J505">
        <v>2.4432960000000001</v>
      </c>
    </row>
    <row r="506" spans="1:10" x14ac:dyDescent="0.25">
      <c r="A506" t="s">
        <v>5</v>
      </c>
      <c r="B506" t="s">
        <v>78</v>
      </c>
      <c r="C506" s="9">
        <v>2011</v>
      </c>
      <c r="D506">
        <v>0</v>
      </c>
      <c r="E506">
        <v>0</v>
      </c>
      <c r="F506">
        <v>0</v>
      </c>
      <c r="G506">
        <v>4.0542470000000002</v>
      </c>
      <c r="H506">
        <v>0</v>
      </c>
      <c r="I506">
        <v>0</v>
      </c>
      <c r="J506">
        <v>4.0542470000000002</v>
      </c>
    </row>
    <row r="507" spans="1:10" x14ac:dyDescent="0.25">
      <c r="A507" t="s">
        <v>5</v>
      </c>
      <c r="B507" t="s">
        <v>78</v>
      </c>
      <c r="C507" s="9">
        <v>2012</v>
      </c>
      <c r="D507">
        <v>0</v>
      </c>
      <c r="E507">
        <v>0</v>
      </c>
      <c r="F507">
        <v>0</v>
      </c>
      <c r="G507">
        <v>4.0877800000000004</v>
      </c>
      <c r="H507">
        <v>0</v>
      </c>
      <c r="I507">
        <v>0</v>
      </c>
      <c r="J507">
        <v>4.0877800000000004</v>
      </c>
    </row>
    <row r="508" spans="1:10" x14ac:dyDescent="0.25">
      <c r="A508" t="s">
        <v>5</v>
      </c>
      <c r="B508" t="s">
        <v>78</v>
      </c>
      <c r="C508" s="9">
        <v>2013</v>
      </c>
      <c r="D508">
        <v>0</v>
      </c>
      <c r="E508">
        <v>0</v>
      </c>
      <c r="F508">
        <v>0</v>
      </c>
      <c r="G508">
        <v>5.3142469999999999</v>
      </c>
      <c r="H508">
        <v>0</v>
      </c>
      <c r="I508">
        <v>0</v>
      </c>
      <c r="J508">
        <v>5.3142469999999999</v>
      </c>
    </row>
    <row r="509" spans="1:10" x14ac:dyDescent="0.25">
      <c r="A509" t="s">
        <v>5</v>
      </c>
      <c r="B509" t="s">
        <v>78</v>
      </c>
      <c r="C509" s="9">
        <v>2014</v>
      </c>
      <c r="D509">
        <v>0</v>
      </c>
      <c r="E509">
        <v>0</v>
      </c>
      <c r="F509">
        <v>0</v>
      </c>
      <c r="G509">
        <v>5.221635</v>
      </c>
      <c r="H509">
        <v>0</v>
      </c>
      <c r="I509">
        <v>0</v>
      </c>
      <c r="J509">
        <v>5.221635</v>
      </c>
    </row>
    <row r="510" spans="1:10" x14ac:dyDescent="0.25">
      <c r="A510" t="s">
        <v>5</v>
      </c>
      <c r="B510" t="s">
        <v>78</v>
      </c>
      <c r="C510" s="9">
        <v>2015</v>
      </c>
      <c r="D510">
        <v>0</v>
      </c>
      <c r="E510">
        <v>0</v>
      </c>
      <c r="F510">
        <v>0</v>
      </c>
      <c r="G510">
        <v>5.4429990000000004</v>
      </c>
      <c r="H510">
        <v>0</v>
      </c>
      <c r="I510">
        <v>0</v>
      </c>
      <c r="J510">
        <v>5.4429990000000004</v>
      </c>
    </row>
    <row r="511" spans="1:10" x14ac:dyDescent="0.25">
      <c r="A511" t="s">
        <v>5</v>
      </c>
      <c r="B511" t="s">
        <v>78</v>
      </c>
      <c r="C511" s="9">
        <v>2016</v>
      </c>
      <c r="D511">
        <v>0</v>
      </c>
      <c r="E511">
        <v>0</v>
      </c>
      <c r="F511">
        <v>0</v>
      </c>
      <c r="G511">
        <v>6.3196940000000001</v>
      </c>
      <c r="H511">
        <v>0</v>
      </c>
      <c r="I511">
        <v>0</v>
      </c>
      <c r="J511">
        <v>6.3196940000000001</v>
      </c>
    </row>
    <row r="512" spans="1:10" x14ac:dyDescent="0.25">
      <c r="A512" t="s">
        <v>5</v>
      </c>
      <c r="B512" t="s">
        <v>78</v>
      </c>
      <c r="C512" s="9">
        <v>2017</v>
      </c>
      <c r="D512">
        <v>0</v>
      </c>
      <c r="E512">
        <v>0</v>
      </c>
      <c r="F512">
        <v>0</v>
      </c>
      <c r="G512">
        <v>6.5526989999999996</v>
      </c>
      <c r="H512">
        <v>0</v>
      </c>
      <c r="I512">
        <v>0</v>
      </c>
      <c r="J512">
        <v>6.5526989999999996</v>
      </c>
    </row>
    <row r="513" spans="1:10" x14ac:dyDescent="0.25">
      <c r="A513" t="s">
        <v>5</v>
      </c>
      <c r="B513" t="s">
        <v>78</v>
      </c>
      <c r="C513" s="9">
        <v>1990</v>
      </c>
      <c r="D513">
        <v>0</v>
      </c>
      <c r="E513">
        <v>0</v>
      </c>
      <c r="F513">
        <v>0</v>
      </c>
      <c r="G513">
        <v>0</v>
      </c>
      <c r="H513">
        <v>0.56249800000000005</v>
      </c>
      <c r="I513">
        <v>0</v>
      </c>
      <c r="J513">
        <v>0.56249800000000005</v>
      </c>
    </row>
    <row r="514" spans="1:10" x14ac:dyDescent="0.25">
      <c r="A514" t="s">
        <v>5</v>
      </c>
      <c r="B514" t="s">
        <v>78</v>
      </c>
      <c r="C514" s="9">
        <v>1991</v>
      </c>
      <c r="D514">
        <v>0</v>
      </c>
      <c r="E514">
        <v>0</v>
      </c>
      <c r="F514">
        <v>0</v>
      </c>
      <c r="G514">
        <v>0</v>
      </c>
      <c r="H514">
        <v>0.67619300000000004</v>
      </c>
      <c r="I514">
        <v>0</v>
      </c>
      <c r="J514">
        <v>0.67619300000000004</v>
      </c>
    </row>
    <row r="515" spans="1:10" x14ac:dyDescent="0.25">
      <c r="A515" t="s">
        <v>5</v>
      </c>
      <c r="B515" t="s">
        <v>78</v>
      </c>
      <c r="C515" s="9">
        <v>1992</v>
      </c>
      <c r="D515">
        <v>0</v>
      </c>
      <c r="E515">
        <v>0</v>
      </c>
      <c r="F515">
        <v>0</v>
      </c>
      <c r="G515">
        <v>0</v>
      </c>
      <c r="H515">
        <v>0.55593099999999995</v>
      </c>
      <c r="I515">
        <v>0</v>
      </c>
      <c r="J515">
        <v>0.55593099999999995</v>
      </c>
    </row>
    <row r="516" spans="1:10" x14ac:dyDescent="0.25">
      <c r="A516" t="s">
        <v>5</v>
      </c>
      <c r="B516" t="s">
        <v>78</v>
      </c>
      <c r="C516" s="9">
        <v>1993</v>
      </c>
      <c r="D516">
        <v>0</v>
      </c>
      <c r="E516">
        <v>0</v>
      </c>
      <c r="F516">
        <v>0</v>
      </c>
      <c r="G516">
        <v>0</v>
      </c>
      <c r="H516">
        <v>0.487653</v>
      </c>
      <c r="I516">
        <v>0</v>
      </c>
      <c r="J516">
        <v>0.487653</v>
      </c>
    </row>
    <row r="517" spans="1:10" x14ac:dyDescent="0.25">
      <c r="A517" t="s">
        <v>5</v>
      </c>
      <c r="B517" t="s">
        <v>78</v>
      </c>
      <c r="C517" s="9">
        <v>1994</v>
      </c>
      <c r="D517">
        <v>0</v>
      </c>
      <c r="E517">
        <v>0</v>
      </c>
      <c r="F517">
        <v>0</v>
      </c>
      <c r="G517">
        <v>0</v>
      </c>
      <c r="H517">
        <v>3.1635019999999998</v>
      </c>
      <c r="I517">
        <v>0</v>
      </c>
      <c r="J517">
        <v>3.1635019999999998</v>
      </c>
    </row>
    <row r="518" spans="1:10" x14ac:dyDescent="0.25">
      <c r="A518" t="s">
        <v>5</v>
      </c>
      <c r="B518" t="s">
        <v>78</v>
      </c>
      <c r="C518" s="9">
        <v>1995</v>
      </c>
      <c r="D518">
        <v>0</v>
      </c>
      <c r="E518">
        <v>0</v>
      </c>
      <c r="F518">
        <v>0</v>
      </c>
      <c r="G518">
        <v>0</v>
      </c>
      <c r="H518">
        <v>4.3976480000000002</v>
      </c>
      <c r="I518">
        <v>0</v>
      </c>
      <c r="J518">
        <v>4.3976480000000002</v>
      </c>
    </row>
    <row r="519" spans="1:10" x14ac:dyDescent="0.25">
      <c r="A519" t="s">
        <v>5</v>
      </c>
      <c r="B519" t="s">
        <v>78</v>
      </c>
      <c r="C519" s="9">
        <v>1996</v>
      </c>
      <c r="D519">
        <v>0</v>
      </c>
      <c r="E519">
        <v>0</v>
      </c>
      <c r="F519">
        <v>0</v>
      </c>
      <c r="G519">
        <v>0</v>
      </c>
      <c r="H519">
        <v>3.662439</v>
      </c>
      <c r="I519">
        <v>0</v>
      </c>
      <c r="J519">
        <v>3.662439</v>
      </c>
    </row>
    <row r="520" spans="1:10" x14ac:dyDescent="0.25">
      <c r="A520" t="s">
        <v>5</v>
      </c>
      <c r="B520" t="s">
        <v>78</v>
      </c>
      <c r="C520" s="9">
        <v>1997</v>
      </c>
      <c r="D520">
        <v>0</v>
      </c>
      <c r="E520">
        <v>0</v>
      </c>
      <c r="F520">
        <v>0</v>
      </c>
      <c r="G520">
        <v>0</v>
      </c>
      <c r="H520">
        <v>3.5443199999999999</v>
      </c>
      <c r="I520">
        <v>0</v>
      </c>
      <c r="J520">
        <v>3.5443199999999999</v>
      </c>
    </row>
    <row r="521" spans="1:10" x14ac:dyDescent="0.25">
      <c r="A521" t="s">
        <v>5</v>
      </c>
      <c r="B521" t="s">
        <v>78</v>
      </c>
      <c r="C521" s="9">
        <v>1998</v>
      </c>
      <c r="D521">
        <v>0</v>
      </c>
      <c r="E521">
        <v>0</v>
      </c>
      <c r="F521">
        <v>0</v>
      </c>
      <c r="G521">
        <v>0</v>
      </c>
      <c r="H521">
        <v>2.8891200000000001</v>
      </c>
      <c r="I521">
        <v>0</v>
      </c>
      <c r="J521">
        <v>2.8891200000000001</v>
      </c>
    </row>
    <row r="522" spans="1:10" x14ac:dyDescent="0.25">
      <c r="A522" t="s">
        <v>5</v>
      </c>
      <c r="B522" t="s">
        <v>78</v>
      </c>
      <c r="C522" s="9">
        <v>1999</v>
      </c>
      <c r="D522">
        <v>0</v>
      </c>
      <c r="E522">
        <v>0</v>
      </c>
      <c r="F522">
        <v>0</v>
      </c>
      <c r="G522">
        <v>0</v>
      </c>
      <c r="H522">
        <v>4.3159210000000003</v>
      </c>
      <c r="I522">
        <v>0</v>
      </c>
      <c r="J522">
        <v>4.3159210000000003</v>
      </c>
    </row>
    <row r="523" spans="1:10" x14ac:dyDescent="0.25">
      <c r="A523" t="s">
        <v>5</v>
      </c>
      <c r="B523" t="s">
        <v>78</v>
      </c>
      <c r="C523" s="9">
        <v>2000</v>
      </c>
      <c r="D523">
        <v>0</v>
      </c>
      <c r="E523">
        <v>0</v>
      </c>
      <c r="F523">
        <v>0</v>
      </c>
      <c r="G523">
        <v>0</v>
      </c>
      <c r="H523">
        <v>3.6328130000000001</v>
      </c>
      <c r="I523">
        <v>0</v>
      </c>
      <c r="J523">
        <v>3.6328130000000001</v>
      </c>
    </row>
    <row r="524" spans="1:10" x14ac:dyDescent="0.25">
      <c r="A524" t="s">
        <v>5</v>
      </c>
      <c r="B524" t="s">
        <v>78</v>
      </c>
      <c r="C524" s="9">
        <v>2001</v>
      </c>
      <c r="D524">
        <v>0</v>
      </c>
      <c r="E524">
        <v>0</v>
      </c>
      <c r="F524">
        <v>0</v>
      </c>
      <c r="G524">
        <v>0</v>
      </c>
      <c r="H524">
        <v>2.3551319999999998</v>
      </c>
      <c r="I524">
        <v>0</v>
      </c>
      <c r="J524">
        <v>2.3551319999999998</v>
      </c>
    </row>
    <row r="525" spans="1:10" x14ac:dyDescent="0.25">
      <c r="A525" t="s">
        <v>5</v>
      </c>
      <c r="B525" t="s">
        <v>78</v>
      </c>
      <c r="C525" s="9">
        <v>2002</v>
      </c>
      <c r="D525">
        <v>0</v>
      </c>
      <c r="E525">
        <v>0</v>
      </c>
      <c r="F525">
        <v>0</v>
      </c>
      <c r="G525">
        <v>0</v>
      </c>
      <c r="H525">
        <v>3.12052</v>
      </c>
      <c r="I525">
        <v>0</v>
      </c>
      <c r="J525">
        <v>3.12052</v>
      </c>
    </row>
    <row r="526" spans="1:10" x14ac:dyDescent="0.25">
      <c r="A526" t="s">
        <v>5</v>
      </c>
      <c r="B526" t="s">
        <v>78</v>
      </c>
      <c r="C526" s="9">
        <v>2003</v>
      </c>
      <c r="D526">
        <v>0</v>
      </c>
      <c r="E526">
        <v>0</v>
      </c>
      <c r="F526">
        <v>0</v>
      </c>
      <c r="G526">
        <v>0</v>
      </c>
      <c r="H526">
        <v>3.8903780000000001</v>
      </c>
      <c r="I526">
        <v>0</v>
      </c>
      <c r="J526">
        <v>3.8903780000000001</v>
      </c>
    </row>
    <row r="527" spans="1:10" x14ac:dyDescent="0.25">
      <c r="A527" t="s">
        <v>5</v>
      </c>
      <c r="B527" t="s">
        <v>78</v>
      </c>
      <c r="C527" s="9">
        <v>2004</v>
      </c>
      <c r="D527">
        <v>0</v>
      </c>
      <c r="E527">
        <v>0</v>
      </c>
      <c r="F527">
        <v>0</v>
      </c>
      <c r="G527">
        <v>0</v>
      </c>
      <c r="H527">
        <v>3.14053</v>
      </c>
      <c r="I527">
        <v>0</v>
      </c>
      <c r="J527">
        <v>3.14053</v>
      </c>
    </row>
    <row r="528" spans="1:10" x14ac:dyDescent="0.25">
      <c r="A528" t="s">
        <v>5</v>
      </c>
      <c r="B528" t="s">
        <v>78</v>
      </c>
      <c r="C528" s="9">
        <v>2005</v>
      </c>
      <c r="D528">
        <v>0</v>
      </c>
      <c r="E528">
        <v>0</v>
      </c>
      <c r="F528">
        <v>0</v>
      </c>
      <c r="G528">
        <v>0</v>
      </c>
      <c r="H528">
        <v>1.140449</v>
      </c>
      <c r="I528">
        <v>0</v>
      </c>
      <c r="J528">
        <v>1.140449</v>
      </c>
    </row>
    <row r="529" spans="1:10" x14ac:dyDescent="0.25">
      <c r="A529" t="s">
        <v>5</v>
      </c>
      <c r="B529" t="s">
        <v>78</v>
      </c>
      <c r="C529" s="9">
        <v>2006</v>
      </c>
      <c r="D529">
        <v>0</v>
      </c>
      <c r="E529">
        <v>0</v>
      </c>
      <c r="F529">
        <v>0</v>
      </c>
      <c r="G529">
        <v>0</v>
      </c>
      <c r="H529">
        <v>1.6598440000000001</v>
      </c>
      <c r="I529">
        <v>0</v>
      </c>
      <c r="J529">
        <v>1.6598440000000001</v>
      </c>
    </row>
    <row r="530" spans="1:10" x14ac:dyDescent="0.25">
      <c r="A530" t="s">
        <v>5</v>
      </c>
      <c r="B530" t="s">
        <v>78</v>
      </c>
      <c r="C530" s="9">
        <v>2007</v>
      </c>
      <c r="D530">
        <v>0</v>
      </c>
      <c r="E530">
        <v>0</v>
      </c>
      <c r="F530">
        <v>0</v>
      </c>
      <c r="G530">
        <v>0</v>
      </c>
      <c r="H530">
        <v>7.4803999999999995E-2</v>
      </c>
      <c r="I530">
        <v>0</v>
      </c>
      <c r="J530">
        <v>7.4803999999999995E-2</v>
      </c>
    </row>
    <row r="531" spans="1:10" x14ac:dyDescent="0.25">
      <c r="A531" t="s">
        <v>5</v>
      </c>
      <c r="B531" t="s">
        <v>78</v>
      </c>
      <c r="C531" s="9">
        <v>2008</v>
      </c>
      <c r="D531">
        <v>0</v>
      </c>
      <c r="E531">
        <v>0</v>
      </c>
      <c r="F531">
        <v>0</v>
      </c>
      <c r="G531">
        <v>0</v>
      </c>
      <c r="H531">
        <v>0.95577100000000004</v>
      </c>
      <c r="I531">
        <v>0</v>
      </c>
      <c r="J531">
        <v>0.95577100000000004</v>
      </c>
    </row>
    <row r="532" spans="1:10" x14ac:dyDescent="0.25">
      <c r="A532" t="s">
        <v>5</v>
      </c>
      <c r="B532" t="s">
        <v>78</v>
      </c>
      <c r="C532" s="9">
        <v>2009</v>
      </c>
      <c r="D532">
        <v>0</v>
      </c>
      <c r="E532">
        <v>0</v>
      </c>
      <c r="F532">
        <v>0</v>
      </c>
      <c r="G532">
        <v>0</v>
      </c>
      <c r="H532">
        <v>0.985931</v>
      </c>
      <c r="I532">
        <v>0</v>
      </c>
      <c r="J532">
        <v>0.985931</v>
      </c>
    </row>
    <row r="533" spans="1:10" x14ac:dyDescent="0.25">
      <c r="A533" t="s">
        <v>5</v>
      </c>
      <c r="B533" t="s">
        <v>78</v>
      </c>
      <c r="C533" s="9">
        <v>2010</v>
      </c>
      <c r="D533">
        <v>0</v>
      </c>
      <c r="E533">
        <v>0</v>
      </c>
      <c r="F533">
        <v>0</v>
      </c>
      <c r="G533">
        <v>0</v>
      </c>
      <c r="H533">
        <v>1.052816</v>
      </c>
      <c r="I533">
        <v>0</v>
      </c>
      <c r="J533">
        <v>1.052816</v>
      </c>
    </row>
    <row r="534" spans="1:10" x14ac:dyDescent="0.25">
      <c r="A534" t="s">
        <v>5</v>
      </c>
      <c r="B534" t="s">
        <v>78</v>
      </c>
      <c r="C534" s="9">
        <v>2011</v>
      </c>
      <c r="D534">
        <v>0</v>
      </c>
      <c r="E534">
        <v>0</v>
      </c>
      <c r="F534">
        <v>0</v>
      </c>
      <c r="G534">
        <v>0</v>
      </c>
      <c r="H534">
        <v>0.93173700000000004</v>
      </c>
      <c r="I534">
        <v>0</v>
      </c>
      <c r="J534">
        <v>0.93173700000000004</v>
      </c>
    </row>
    <row r="535" spans="1:10" x14ac:dyDescent="0.25">
      <c r="A535" t="s">
        <v>5</v>
      </c>
      <c r="B535" t="s">
        <v>78</v>
      </c>
      <c r="C535" s="9">
        <v>2012</v>
      </c>
      <c r="D535">
        <v>0</v>
      </c>
      <c r="E535">
        <v>0</v>
      </c>
      <c r="F535">
        <v>0</v>
      </c>
      <c r="G535">
        <v>0</v>
      </c>
      <c r="H535">
        <v>0.59706199999999998</v>
      </c>
      <c r="I535">
        <v>0</v>
      </c>
      <c r="J535">
        <v>0.59706199999999998</v>
      </c>
    </row>
    <row r="536" spans="1:10" x14ac:dyDescent="0.25">
      <c r="A536" t="s">
        <v>5</v>
      </c>
      <c r="B536" t="s">
        <v>78</v>
      </c>
      <c r="C536" s="9">
        <v>2013</v>
      </c>
      <c r="D536">
        <v>0</v>
      </c>
      <c r="E536">
        <v>0</v>
      </c>
      <c r="F536">
        <v>0</v>
      </c>
      <c r="G536">
        <v>0</v>
      </c>
      <c r="H536">
        <v>0.64281999999999995</v>
      </c>
      <c r="I536">
        <v>0</v>
      </c>
      <c r="J536">
        <v>0.64281999999999995</v>
      </c>
    </row>
    <row r="537" spans="1:10" x14ac:dyDescent="0.25">
      <c r="A537" t="s">
        <v>5</v>
      </c>
      <c r="B537" t="s">
        <v>78</v>
      </c>
      <c r="C537" s="9">
        <v>2014</v>
      </c>
      <c r="D537">
        <v>0</v>
      </c>
      <c r="E537">
        <v>0</v>
      </c>
      <c r="F537">
        <v>0</v>
      </c>
      <c r="G537">
        <v>0</v>
      </c>
      <c r="H537">
        <v>0.52168499999999995</v>
      </c>
      <c r="I537">
        <v>0</v>
      </c>
      <c r="J537">
        <v>0.52168499999999995</v>
      </c>
    </row>
    <row r="538" spans="1:10" x14ac:dyDescent="0.25">
      <c r="A538" t="s">
        <v>5</v>
      </c>
      <c r="B538" t="s">
        <v>78</v>
      </c>
      <c r="C538" s="9">
        <v>2015</v>
      </c>
      <c r="D538">
        <v>0</v>
      </c>
      <c r="E538">
        <v>0</v>
      </c>
      <c r="F538">
        <v>0</v>
      </c>
      <c r="G538">
        <v>0</v>
      </c>
      <c r="H538">
        <v>0.56969000000000003</v>
      </c>
      <c r="I538">
        <v>0</v>
      </c>
      <c r="J538">
        <v>0.56969000000000003</v>
      </c>
    </row>
    <row r="539" spans="1:10" x14ac:dyDescent="0.25">
      <c r="A539" t="s">
        <v>5</v>
      </c>
      <c r="B539" t="s">
        <v>78</v>
      </c>
      <c r="C539" s="9">
        <v>2016</v>
      </c>
      <c r="D539">
        <v>0</v>
      </c>
      <c r="E539">
        <v>0</v>
      </c>
      <c r="F539">
        <v>0</v>
      </c>
      <c r="G539">
        <v>0</v>
      </c>
      <c r="H539">
        <v>0.61049299999999995</v>
      </c>
      <c r="I539">
        <v>0</v>
      </c>
      <c r="J539">
        <v>0.61049299999999995</v>
      </c>
    </row>
    <row r="540" spans="1:10" x14ac:dyDescent="0.25">
      <c r="A540" t="s">
        <v>5</v>
      </c>
      <c r="B540" t="s">
        <v>78</v>
      </c>
      <c r="C540" s="9">
        <v>2017</v>
      </c>
      <c r="D540">
        <v>0</v>
      </c>
      <c r="E540">
        <v>0</v>
      </c>
      <c r="F540">
        <v>0</v>
      </c>
      <c r="G540">
        <v>0</v>
      </c>
      <c r="H540">
        <v>0.61080400000000001</v>
      </c>
      <c r="I540">
        <v>0</v>
      </c>
      <c r="J540">
        <v>0.61080400000000001</v>
      </c>
    </row>
    <row r="541" spans="1:10" x14ac:dyDescent="0.25">
      <c r="A541" t="s">
        <v>5</v>
      </c>
      <c r="B541" t="s">
        <v>78</v>
      </c>
      <c r="C541" s="9">
        <v>1990</v>
      </c>
      <c r="D541">
        <v>0</v>
      </c>
      <c r="E541">
        <v>0</v>
      </c>
      <c r="F541">
        <v>0</v>
      </c>
      <c r="G541">
        <v>0</v>
      </c>
      <c r="H541">
        <v>0</v>
      </c>
      <c r="I541">
        <v>72.351042000000007</v>
      </c>
      <c r="J541">
        <v>72.351042000000007</v>
      </c>
    </row>
    <row r="542" spans="1:10" x14ac:dyDescent="0.25">
      <c r="A542" t="s">
        <v>5</v>
      </c>
      <c r="B542" t="s">
        <v>78</v>
      </c>
      <c r="C542" s="9">
        <v>1991</v>
      </c>
      <c r="D542">
        <v>0</v>
      </c>
      <c r="E542">
        <v>0</v>
      </c>
      <c r="F542">
        <v>0</v>
      </c>
      <c r="G542">
        <v>0</v>
      </c>
      <c r="H542">
        <v>0</v>
      </c>
      <c r="I542">
        <v>58.355184999999999</v>
      </c>
      <c r="J542">
        <v>58.355184999999999</v>
      </c>
    </row>
    <row r="543" spans="1:10" x14ac:dyDescent="0.25">
      <c r="A543" t="s">
        <v>5</v>
      </c>
      <c r="B543" t="s">
        <v>78</v>
      </c>
      <c r="C543" s="9">
        <v>1992</v>
      </c>
      <c r="D543">
        <v>0</v>
      </c>
      <c r="E543">
        <v>0</v>
      </c>
      <c r="F543">
        <v>0</v>
      </c>
      <c r="G543">
        <v>0</v>
      </c>
      <c r="H543">
        <v>0</v>
      </c>
      <c r="I543">
        <v>56.017259000000003</v>
      </c>
      <c r="J543">
        <v>56.017259000000003</v>
      </c>
    </row>
    <row r="544" spans="1:10" x14ac:dyDescent="0.25">
      <c r="A544" t="s">
        <v>5</v>
      </c>
      <c r="B544" t="s">
        <v>78</v>
      </c>
      <c r="C544" s="9">
        <v>1993</v>
      </c>
      <c r="D544">
        <v>0</v>
      </c>
      <c r="E544">
        <v>0</v>
      </c>
      <c r="F544">
        <v>0</v>
      </c>
      <c r="G544">
        <v>0</v>
      </c>
      <c r="H544">
        <v>0</v>
      </c>
      <c r="I544">
        <v>59.337232999999998</v>
      </c>
      <c r="J544">
        <v>59.337232999999998</v>
      </c>
    </row>
    <row r="545" spans="1:10" x14ac:dyDescent="0.25">
      <c r="A545" t="s">
        <v>5</v>
      </c>
      <c r="B545" t="s">
        <v>78</v>
      </c>
      <c r="C545" s="9">
        <v>1994</v>
      </c>
      <c r="D545">
        <v>0</v>
      </c>
      <c r="E545">
        <v>0</v>
      </c>
      <c r="F545">
        <v>0</v>
      </c>
      <c r="G545">
        <v>0</v>
      </c>
      <c r="H545">
        <v>0</v>
      </c>
      <c r="I545">
        <v>62.723593000000001</v>
      </c>
      <c r="J545">
        <v>62.723593000000001</v>
      </c>
    </row>
    <row r="546" spans="1:10" x14ac:dyDescent="0.25">
      <c r="A546" t="s">
        <v>5</v>
      </c>
      <c r="B546" t="s">
        <v>78</v>
      </c>
      <c r="C546" s="9">
        <v>1995</v>
      </c>
      <c r="D546">
        <v>0</v>
      </c>
      <c r="E546">
        <v>0</v>
      </c>
      <c r="F546">
        <v>0</v>
      </c>
      <c r="G546">
        <v>0</v>
      </c>
      <c r="H546">
        <v>0</v>
      </c>
      <c r="I546">
        <v>0.30259200000000003</v>
      </c>
      <c r="J546">
        <v>0.30259200000000003</v>
      </c>
    </row>
    <row r="547" spans="1:10" x14ac:dyDescent="0.25">
      <c r="A547" t="s">
        <v>5</v>
      </c>
      <c r="B547" t="s">
        <v>78</v>
      </c>
      <c r="C547" s="9">
        <v>1996</v>
      </c>
      <c r="D547">
        <v>0</v>
      </c>
      <c r="E547">
        <v>0</v>
      </c>
      <c r="F547">
        <v>0</v>
      </c>
      <c r="G547">
        <v>0</v>
      </c>
      <c r="H547">
        <v>0</v>
      </c>
      <c r="I547">
        <v>0.28648299999999999</v>
      </c>
      <c r="J547">
        <v>0.28648299999999999</v>
      </c>
    </row>
    <row r="548" spans="1:10" x14ac:dyDescent="0.25">
      <c r="A548" t="s">
        <v>5</v>
      </c>
      <c r="B548" t="s">
        <v>78</v>
      </c>
      <c r="C548" s="9">
        <v>1997</v>
      </c>
      <c r="D548">
        <v>0</v>
      </c>
      <c r="E548">
        <v>0</v>
      </c>
      <c r="F548">
        <v>0</v>
      </c>
      <c r="G548">
        <v>0</v>
      </c>
      <c r="H548">
        <v>0</v>
      </c>
      <c r="I548">
        <v>0.35427199999999998</v>
      </c>
      <c r="J548">
        <v>0.35427199999999998</v>
      </c>
    </row>
    <row r="549" spans="1:10" x14ac:dyDescent="0.25">
      <c r="A549" t="s">
        <v>5</v>
      </c>
      <c r="B549" t="s">
        <v>78</v>
      </c>
      <c r="C549" s="9">
        <v>1998</v>
      </c>
      <c r="D549">
        <v>0</v>
      </c>
      <c r="E549">
        <v>0</v>
      </c>
      <c r="F549">
        <v>0</v>
      </c>
      <c r="G549">
        <v>0</v>
      </c>
      <c r="H549">
        <v>0</v>
      </c>
      <c r="I549">
        <v>0.40369300000000002</v>
      </c>
      <c r="J549">
        <v>0.40369300000000002</v>
      </c>
    </row>
    <row r="550" spans="1:10" x14ac:dyDescent="0.25">
      <c r="A550" t="s">
        <v>5</v>
      </c>
      <c r="B550" t="s">
        <v>78</v>
      </c>
      <c r="C550" s="9">
        <v>1999</v>
      </c>
      <c r="D550">
        <v>0</v>
      </c>
      <c r="E550">
        <v>0</v>
      </c>
      <c r="F550">
        <v>0</v>
      </c>
      <c r="G550">
        <v>0</v>
      </c>
      <c r="H550">
        <v>0</v>
      </c>
      <c r="I550">
        <v>0.38912799999999997</v>
      </c>
      <c r="J550">
        <v>0.38912799999999997</v>
      </c>
    </row>
    <row r="551" spans="1:10" x14ac:dyDescent="0.25">
      <c r="A551" t="s">
        <v>5</v>
      </c>
      <c r="B551" t="s">
        <v>78</v>
      </c>
      <c r="C551" s="9">
        <v>2000</v>
      </c>
      <c r="D551">
        <v>0</v>
      </c>
      <c r="E551">
        <v>0</v>
      </c>
      <c r="F551">
        <v>0</v>
      </c>
      <c r="G551">
        <v>0</v>
      </c>
      <c r="H551">
        <v>0</v>
      </c>
      <c r="I551">
        <v>75.12</v>
      </c>
      <c r="J551">
        <v>75.12</v>
      </c>
    </row>
    <row r="552" spans="1:10" x14ac:dyDescent="0.25">
      <c r="A552" t="s">
        <v>5</v>
      </c>
      <c r="B552" t="s">
        <v>78</v>
      </c>
      <c r="C552" s="9">
        <v>2001</v>
      </c>
      <c r="D552">
        <v>0</v>
      </c>
      <c r="E552">
        <v>0</v>
      </c>
      <c r="F552">
        <v>0</v>
      </c>
      <c r="G552">
        <v>0</v>
      </c>
      <c r="H552">
        <v>0</v>
      </c>
      <c r="I552">
        <v>63.460169999999998</v>
      </c>
      <c r="J552">
        <v>63.460169999999998</v>
      </c>
    </row>
    <row r="553" spans="1:10" x14ac:dyDescent="0.25">
      <c r="A553" t="s">
        <v>5</v>
      </c>
      <c r="B553" t="s">
        <v>78</v>
      </c>
      <c r="C553" s="9">
        <v>2002</v>
      </c>
      <c r="D553">
        <v>0</v>
      </c>
      <c r="E553">
        <v>0</v>
      </c>
      <c r="F553">
        <v>0</v>
      </c>
      <c r="G553">
        <v>0</v>
      </c>
      <c r="H553">
        <v>0</v>
      </c>
      <c r="I553">
        <v>65.907387</v>
      </c>
      <c r="J553">
        <v>65.907387</v>
      </c>
    </row>
    <row r="554" spans="1:10" x14ac:dyDescent="0.25">
      <c r="A554" t="s">
        <v>5</v>
      </c>
      <c r="B554" t="s">
        <v>78</v>
      </c>
      <c r="C554" s="9">
        <v>2003</v>
      </c>
      <c r="D554">
        <v>0</v>
      </c>
      <c r="E554">
        <v>0</v>
      </c>
      <c r="F554">
        <v>0</v>
      </c>
      <c r="G554">
        <v>0</v>
      </c>
      <c r="H554">
        <v>0</v>
      </c>
      <c r="I554">
        <v>69.764202999999995</v>
      </c>
      <c r="J554">
        <v>69.764202999999995</v>
      </c>
    </row>
    <row r="555" spans="1:10" x14ac:dyDescent="0.25">
      <c r="A555" t="s">
        <v>5</v>
      </c>
      <c r="B555" t="s">
        <v>78</v>
      </c>
      <c r="C555" s="9">
        <v>2004</v>
      </c>
      <c r="D555">
        <v>0</v>
      </c>
      <c r="E555">
        <v>0</v>
      </c>
      <c r="F555">
        <v>0</v>
      </c>
      <c r="G555">
        <v>0</v>
      </c>
      <c r="H555">
        <v>0</v>
      </c>
      <c r="I555">
        <v>83.952157</v>
      </c>
      <c r="J555">
        <v>83.952157</v>
      </c>
    </row>
    <row r="556" spans="1:10" x14ac:dyDescent="0.25">
      <c r="A556" t="s">
        <v>5</v>
      </c>
      <c r="B556" t="s">
        <v>78</v>
      </c>
      <c r="C556" s="9">
        <v>2005</v>
      </c>
      <c r="D556">
        <v>0</v>
      </c>
      <c r="E556">
        <v>0</v>
      </c>
      <c r="F556">
        <v>0</v>
      </c>
      <c r="G556">
        <v>0</v>
      </c>
      <c r="H556">
        <v>0</v>
      </c>
      <c r="I556">
        <v>85.048347000000007</v>
      </c>
      <c r="J556">
        <v>85.048347000000007</v>
      </c>
    </row>
    <row r="557" spans="1:10" x14ac:dyDescent="0.25">
      <c r="A557" t="s">
        <v>5</v>
      </c>
      <c r="B557" t="s">
        <v>78</v>
      </c>
      <c r="C557" s="9">
        <v>2006</v>
      </c>
      <c r="D557">
        <v>0</v>
      </c>
      <c r="E557">
        <v>0</v>
      </c>
      <c r="F557">
        <v>0</v>
      </c>
      <c r="G557">
        <v>0</v>
      </c>
      <c r="H557">
        <v>0</v>
      </c>
      <c r="I557">
        <v>93.944131999999996</v>
      </c>
      <c r="J557">
        <v>93.944131999999996</v>
      </c>
    </row>
    <row r="558" spans="1:10" x14ac:dyDescent="0.25">
      <c r="A558" t="s">
        <v>5</v>
      </c>
      <c r="B558" t="s">
        <v>78</v>
      </c>
      <c r="C558" s="9">
        <v>2007</v>
      </c>
      <c r="D558">
        <v>0</v>
      </c>
      <c r="E558">
        <v>0</v>
      </c>
      <c r="F558">
        <v>0</v>
      </c>
      <c r="G558">
        <v>0</v>
      </c>
      <c r="H558">
        <v>0</v>
      </c>
      <c r="I558">
        <v>95.001868000000002</v>
      </c>
      <c r="J558">
        <v>95.001868000000002</v>
      </c>
    </row>
    <row r="559" spans="1:10" x14ac:dyDescent="0.25">
      <c r="A559" t="s">
        <v>5</v>
      </c>
      <c r="B559" t="s">
        <v>78</v>
      </c>
      <c r="C559" s="9">
        <v>2008</v>
      </c>
      <c r="D559">
        <v>0</v>
      </c>
      <c r="E559">
        <v>0</v>
      </c>
      <c r="F559">
        <v>0</v>
      </c>
      <c r="G559">
        <v>0</v>
      </c>
      <c r="H559">
        <v>0</v>
      </c>
      <c r="I559">
        <v>92.882479000000004</v>
      </c>
      <c r="J559">
        <v>92.882479000000004</v>
      </c>
    </row>
    <row r="560" spans="1:10" x14ac:dyDescent="0.25">
      <c r="A560" t="s">
        <v>5</v>
      </c>
      <c r="B560" t="s">
        <v>78</v>
      </c>
      <c r="C560" s="9">
        <v>2009</v>
      </c>
      <c r="D560">
        <v>0</v>
      </c>
      <c r="E560">
        <v>0</v>
      </c>
      <c r="F560">
        <v>0</v>
      </c>
      <c r="G560">
        <v>0</v>
      </c>
      <c r="H560">
        <v>0</v>
      </c>
      <c r="I560">
        <v>94.857782999999998</v>
      </c>
      <c r="J560">
        <v>94.857782999999998</v>
      </c>
    </row>
    <row r="561" spans="1:10" x14ac:dyDescent="0.25">
      <c r="A561" t="s">
        <v>5</v>
      </c>
      <c r="B561" t="s">
        <v>78</v>
      </c>
      <c r="C561" s="9">
        <v>2010</v>
      </c>
      <c r="D561">
        <v>0</v>
      </c>
      <c r="E561">
        <v>0</v>
      </c>
      <c r="F561">
        <v>0</v>
      </c>
      <c r="G561">
        <v>0</v>
      </c>
      <c r="H561">
        <v>0</v>
      </c>
      <c r="I561">
        <v>98.700778</v>
      </c>
      <c r="J561">
        <v>98.700778</v>
      </c>
    </row>
    <row r="562" spans="1:10" x14ac:dyDescent="0.25">
      <c r="A562" t="s">
        <v>5</v>
      </c>
      <c r="B562" t="s">
        <v>78</v>
      </c>
      <c r="C562" s="9">
        <v>2011</v>
      </c>
      <c r="D562">
        <v>0</v>
      </c>
      <c r="E562">
        <v>0</v>
      </c>
      <c r="F562">
        <v>0</v>
      </c>
      <c r="G562">
        <v>0</v>
      </c>
      <c r="H562">
        <v>0</v>
      </c>
      <c r="I562">
        <v>100.596766</v>
      </c>
      <c r="J562">
        <v>100.596766</v>
      </c>
    </row>
    <row r="563" spans="1:10" x14ac:dyDescent="0.25">
      <c r="A563" t="s">
        <v>5</v>
      </c>
      <c r="B563" t="s">
        <v>78</v>
      </c>
      <c r="C563" s="9">
        <v>2012</v>
      </c>
      <c r="D563">
        <v>0</v>
      </c>
      <c r="E563">
        <v>0</v>
      </c>
      <c r="F563">
        <v>0</v>
      </c>
      <c r="G563">
        <v>0</v>
      </c>
      <c r="H563">
        <v>0</v>
      </c>
      <c r="I563">
        <v>93.704398999999995</v>
      </c>
      <c r="J563">
        <v>93.704398999999995</v>
      </c>
    </row>
    <row r="564" spans="1:10" x14ac:dyDescent="0.25">
      <c r="A564" t="s">
        <v>5</v>
      </c>
      <c r="B564" t="s">
        <v>78</v>
      </c>
      <c r="C564" s="9">
        <v>2013</v>
      </c>
      <c r="D564">
        <v>0</v>
      </c>
      <c r="E564">
        <v>0</v>
      </c>
      <c r="F564">
        <v>0</v>
      </c>
      <c r="G564">
        <v>0</v>
      </c>
      <c r="H564">
        <v>0</v>
      </c>
      <c r="I564">
        <v>98.638885000000002</v>
      </c>
      <c r="J564">
        <v>98.638885000000002</v>
      </c>
    </row>
    <row r="565" spans="1:10" x14ac:dyDescent="0.25">
      <c r="A565" t="s">
        <v>5</v>
      </c>
      <c r="B565" t="s">
        <v>78</v>
      </c>
      <c r="C565" s="9">
        <v>2014</v>
      </c>
      <c r="D565">
        <v>0</v>
      </c>
      <c r="E565">
        <v>0</v>
      </c>
      <c r="F565">
        <v>0</v>
      </c>
      <c r="G565">
        <v>0</v>
      </c>
      <c r="H565">
        <v>0</v>
      </c>
      <c r="I565">
        <v>82.506609999999995</v>
      </c>
      <c r="J565">
        <v>82.506609999999995</v>
      </c>
    </row>
    <row r="566" spans="1:10" x14ac:dyDescent="0.25">
      <c r="A566" t="s">
        <v>5</v>
      </c>
      <c r="B566" t="s">
        <v>78</v>
      </c>
      <c r="C566" s="9">
        <v>2015</v>
      </c>
      <c r="D566">
        <v>0</v>
      </c>
      <c r="E566">
        <v>0</v>
      </c>
      <c r="F566">
        <v>0</v>
      </c>
      <c r="G566">
        <v>0</v>
      </c>
      <c r="H566">
        <v>0</v>
      </c>
      <c r="I566">
        <v>88.105113000000003</v>
      </c>
      <c r="J566">
        <v>88.105113000000003</v>
      </c>
    </row>
    <row r="567" spans="1:10" x14ac:dyDescent="0.25">
      <c r="A567" t="s">
        <v>5</v>
      </c>
      <c r="B567" t="s">
        <v>78</v>
      </c>
      <c r="C567" s="9">
        <v>2016</v>
      </c>
      <c r="D567">
        <v>0</v>
      </c>
      <c r="E567">
        <v>0</v>
      </c>
      <c r="F567">
        <v>0</v>
      </c>
      <c r="G567">
        <v>0</v>
      </c>
      <c r="H567">
        <v>0</v>
      </c>
      <c r="I567">
        <v>92.026514000000006</v>
      </c>
      <c r="J567">
        <v>92.026514000000006</v>
      </c>
    </row>
    <row r="568" spans="1:10" x14ac:dyDescent="0.25">
      <c r="A568" t="s">
        <v>5</v>
      </c>
      <c r="B568" t="s">
        <v>78</v>
      </c>
      <c r="C568" s="9">
        <v>2017</v>
      </c>
      <c r="D568">
        <v>0</v>
      </c>
      <c r="E568">
        <v>0</v>
      </c>
      <c r="F568">
        <v>0</v>
      </c>
      <c r="G568">
        <v>0</v>
      </c>
      <c r="H568">
        <v>0</v>
      </c>
      <c r="I568">
        <v>96.194067000000004</v>
      </c>
      <c r="J568">
        <v>96.194067000000004</v>
      </c>
    </row>
    <row r="569" spans="1:10" x14ac:dyDescent="0.25">
      <c r="A569" t="s">
        <v>5</v>
      </c>
      <c r="B569" t="s">
        <v>78</v>
      </c>
      <c r="C569" s="9">
        <v>1990</v>
      </c>
      <c r="D569">
        <v>0</v>
      </c>
      <c r="E569">
        <v>0</v>
      </c>
      <c r="F569">
        <v>1.120822</v>
      </c>
      <c r="G569">
        <v>0</v>
      </c>
      <c r="H569">
        <v>0</v>
      </c>
      <c r="I569">
        <v>0</v>
      </c>
      <c r="J569">
        <v>1.120822</v>
      </c>
    </row>
    <row r="570" spans="1:10" x14ac:dyDescent="0.25">
      <c r="A570" t="s">
        <v>5</v>
      </c>
      <c r="B570" t="s">
        <v>78</v>
      </c>
      <c r="C570" s="9">
        <v>1991</v>
      </c>
      <c r="D570">
        <v>0</v>
      </c>
      <c r="E570">
        <v>0</v>
      </c>
      <c r="F570">
        <v>0.85809000000000002</v>
      </c>
      <c r="G570">
        <v>0</v>
      </c>
      <c r="H570">
        <v>0</v>
      </c>
      <c r="I570">
        <v>0</v>
      </c>
      <c r="J570">
        <v>0.85809000000000002</v>
      </c>
    </row>
    <row r="571" spans="1:10" x14ac:dyDescent="0.25">
      <c r="A571" t="s">
        <v>5</v>
      </c>
      <c r="B571" t="s">
        <v>78</v>
      </c>
      <c r="C571" s="9">
        <v>1992</v>
      </c>
      <c r="D571">
        <v>0</v>
      </c>
      <c r="E571">
        <v>0</v>
      </c>
      <c r="F571">
        <v>2.381173</v>
      </c>
      <c r="G571">
        <v>0</v>
      </c>
      <c r="H571">
        <v>0</v>
      </c>
      <c r="I571">
        <v>0</v>
      </c>
      <c r="J571">
        <v>2.381173</v>
      </c>
    </row>
    <row r="572" spans="1:10" x14ac:dyDescent="0.25">
      <c r="A572" t="s">
        <v>5</v>
      </c>
      <c r="B572" t="s">
        <v>78</v>
      </c>
      <c r="C572" s="9">
        <v>1993</v>
      </c>
      <c r="D572">
        <v>0</v>
      </c>
      <c r="E572">
        <v>0</v>
      </c>
      <c r="F572">
        <v>2.5738720000000002</v>
      </c>
      <c r="G572">
        <v>0</v>
      </c>
      <c r="H572">
        <v>0</v>
      </c>
      <c r="I572">
        <v>0</v>
      </c>
      <c r="J572">
        <v>2.5738720000000002</v>
      </c>
    </row>
    <row r="573" spans="1:10" x14ac:dyDescent="0.25">
      <c r="A573" t="s">
        <v>5</v>
      </c>
      <c r="B573" t="s">
        <v>78</v>
      </c>
      <c r="C573" s="9">
        <v>1994</v>
      </c>
      <c r="D573">
        <v>0</v>
      </c>
      <c r="E573">
        <v>0</v>
      </c>
      <c r="F573">
        <v>2.900744</v>
      </c>
      <c r="G573">
        <v>0</v>
      </c>
      <c r="H573">
        <v>0</v>
      </c>
      <c r="I573">
        <v>0</v>
      </c>
      <c r="J573">
        <v>2.900744</v>
      </c>
    </row>
    <row r="574" spans="1:10" x14ac:dyDescent="0.25">
      <c r="A574" t="s">
        <v>5</v>
      </c>
      <c r="B574" t="s">
        <v>78</v>
      </c>
      <c r="C574" s="9">
        <v>1995</v>
      </c>
      <c r="D574">
        <v>0</v>
      </c>
      <c r="E574">
        <v>0</v>
      </c>
      <c r="F574">
        <v>2.1923840000000001</v>
      </c>
      <c r="G574">
        <v>0</v>
      </c>
      <c r="H574">
        <v>0</v>
      </c>
      <c r="I574">
        <v>0</v>
      </c>
      <c r="J574">
        <v>2.1923840000000001</v>
      </c>
    </row>
    <row r="575" spans="1:10" x14ac:dyDescent="0.25">
      <c r="A575" t="s">
        <v>5</v>
      </c>
      <c r="B575" t="s">
        <v>78</v>
      </c>
      <c r="C575" s="9">
        <v>1996</v>
      </c>
      <c r="D575">
        <v>0</v>
      </c>
      <c r="E575">
        <v>0</v>
      </c>
      <c r="F575">
        <v>3.2711600000000001</v>
      </c>
      <c r="G575">
        <v>0</v>
      </c>
      <c r="H575">
        <v>0</v>
      </c>
      <c r="I575">
        <v>0</v>
      </c>
      <c r="J575">
        <v>3.2711600000000001</v>
      </c>
    </row>
    <row r="576" spans="1:10" x14ac:dyDescent="0.25">
      <c r="A576" t="s">
        <v>5</v>
      </c>
      <c r="B576" t="s">
        <v>78</v>
      </c>
      <c r="C576" s="9">
        <v>1997</v>
      </c>
      <c r="D576">
        <v>0</v>
      </c>
      <c r="E576">
        <v>0</v>
      </c>
      <c r="F576">
        <v>2.9654850000000001</v>
      </c>
      <c r="G576">
        <v>0</v>
      </c>
      <c r="H576">
        <v>0</v>
      </c>
      <c r="I576">
        <v>0</v>
      </c>
      <c r="J576">
        <v>2.9654850000000001</v>
      </c>
    </row>
    <row r="577" spans="1:10" x14ac:dyDescent="0.25">
      <c r="A577" t="s">
        <v>5</v>
      </c>
      <c r="B577" t="s">
        <v>78</v>
      </c>
      <c r="C577" s="9">
        <v>1998</v>
      </c>
      <c r="D577">
        <v>0</v>
      </c>
      <c r="E577">
        <v>0</v>
      </c>
      <c r="F577">
        <v>3.2726359999999999</v>
      </c>
      <c r="G577">
        <v>0</v>
      </c>
      <c r="H577">
        <v>0</v>
      </c>
      <c r="I577">
        <v>0</v>
      </c>
      <c r="J577">
        <v>3.2726359999999999</v>
      </c>
    </row>
    <row r="578" spans="1:10" x14ac:dyDescent="0.25">
      <c r="A578" t="s">
        <v>5</v>
      </c>
      <c r="B578" t="s">
        <v>78</v>
      </c>
      <c r="C578" s="9">
        <v>1999</v>
      </c>
      <c r="D578">
        <v>0</v>
      </c>
      <c r="E578">
        <v>0</v>
      </c>
      <c r="F578">
        <v>2.9136709999999999</v>
      </c>
      <c r="G578">
        <v>0</v>
      </c>
      <c r="H578">
        <v>0</v>
      </c>
      <c r="I578">
        <v>0</v>
      </c>
      <c r="J578">
        <v>2.9136709999999999</v>
      </c>
    </row>
    <row r="579" spans="1:10" x14ac:dyDescent="0.25">
      <c r="A579" t="s">
        <v>5</v>
      </c>
      <c r="B579" t="s">
        <v>78</v>
      </c>
      <c r="C579" s="9">
        <v>2000</v>
      </c>
      <c r="D579">
        <v>0</v>
      </c>
      <c r="E579">
        <v>0</v>
      </c>
      <c r="F579">
        <v>2.7998769999999999</v>
      </c>
      <c r="G579">
        <v>0</v>
      </c>
      <c r="H579">
        <v>0</v>
      </c>
      <c r="I579">
        <v>0</v>
      </c>
      <c r="J579">
        <v>2.7998769999999999</v>
      </c>
    </row>
    <row r="580" spans="1:10" x14ac:dyDescent="0.25">
      <c r="A580" t="s">
        <v>5</v>
      </c>
      <c r="B580" t="s">
        <v>78</v>
      </c>
      <c r="C580" s="9">
        <v>2001</v>
      </c>
      <c r="D580">
        <v>0</v>
      </c>
      <c r="E580">
        <v>0</v>
      </c>
      <c r="F580">
        <v>2.1046659999999999</v>
      </c>
      <c r="G580">
        <v>0</v>
      </c>
      <c r="H580">
        <v>0</v>
      </c>
      <c r="I580">
        <v>0</v>
      </c>
      <c r="J580">
        <v>2.1046659999999999</v>
      </c>
    </row>
    <row r="581" spans="1:10" x14ac:dyDescent="0.25">
      <c r="A581" t="s">
        <v>5</v>
      </c>
      <c r="B581" t="s">
        <v>78</v>
      </c>
      <c r="C581" s="9">
        <v>2002</v>
      </c>
      <c r="D581">
        <v>0</v>
      </c>
      <c r="E581">
        <v>0</v>
      </c>
      <c r="F581">
        <v>3.2835290000000001</v>
      </c>
      <c r="G581">
        <v>0</v>
      </c>
      <c r="H581">
        <v>0</v>
      </c>
      <c r="I581">
        <v>0</v>
      </c>
      <c r="J581">
        <v>3.2835290000000001</v>
      </c>
    </row>
    <row r="582" spans="1:10" x14ac:dyDescent="0.25">
      <c r="A582" t="s">
        <v>5</v>
      </c>
      <c r="B582" t="s">
        <v>78</v>
      </c>
      <c r="C582" s="9">
        <v>2003</v>
      </c>
      <c r="D582">
        <v>0</v>
      </c>
      <c r="E582">
        <v>0</v>
      </c>
      <c r="F582">
        <v>2.7392789999999998</v>
      </c>
      <c r="G582">
        <v>0</v>
      </c>
      <c r="H582">
        <v>0</v>
      </c>
      <c r="I582">
        <v>0</v>
      </c>
      <c r="J582">
        <v>2.7392789999999998</v>
      </c>
    </row>
    <row r="583" spans="1:10" x14ac:dyDescent="0.25">
      <c r="A583" t="s">
        <v>5</v>
      </c>
      <c r="B583" t="s">
        <v>78</v>
      </c>
      <c r="C583" s="9">
        <v>2004</v>
      </c>
      <c r="D583">
        <v>0</v>
      </c>
      <c r="E583">
        <v>0</v>
      </c>
      <c r="F583">
        <v>3.0665559999999998</v>
      </c>
      <c r="G583">
        <v>0</v>
      </c>
      <c r="H583">
        <v>0</v>
      </c>
      <c r="I583">
        <v>0</v>
      </c>
      <c r="J583">
        <v>3.0665559999999998</v>
      </c>
    </row>
    <row r="584" spans="1:10" x14ac:dyDescent="0.25">
      <c r="A584" t="s">
        <v>5</v>
      </c>
      <c r="B584" t="s">
        <v>78</v>
      </c>
      <c r="C584" s="9">
        <v>2005</v>
      </c>
      <c r="D584">
        <v>0</v>
      </c>
      <c r="E584">
        <v>0</v>
      </c>
      <c r="F584">
        <v>3.2401849999999999</v>
      </c>
      <c r="G584">
        <v>0</v>
      </c>
      <c r="H584">
        <v>0</v>
      </c>
      <c r="I584">
        <v>0</v>
      </c>
      <c r="J584">
        <v>3.2401849999999999</v>
      </c>
    </row>
    <row r="585" spans="1:10" x14ac:dyDescent="0.25">
      <c r="A585" t="s">
        <v>5</v>
      </c>
      <c r="B585" t="s">
        <v>78</v>
      </c>
      <c r="C585" s="9">
        <v>2006</v>
      </c>
      <c r="D585">
        <v>0</v>
      </c>
      <c r="E585">
        <v>0</v>
      </c>
      <c r="F585">
        <v>12.946194999999999</v>
      </c>
      <c r="G585">
        <v>0</v>
      </c>
      <c r="H585">
        <v>0</v>
      </c>
      <c r="I585">
        <v>0</v>
      </c>
      <c r="J585">
        <v>12.946194999999999</v>
      </c>
    </row>
    <row r="586" spans="1:10" x14ac:dyDescent="0.25">
      <c r="A586" t="s">
        <v>5</v>
      </c>
      <c r="B586" t="s">
        <v>78</v>
      </c>
      <c r="C586" s="9">
        <v>2007</v>
      </c>
      <c r="D586">
        <v>0</v>
      </c>
      <c r="E586">
        <v>0</v>
      </c>
      <c r="F586">
        <v>13.391806000000001</v>
      </c>
      <c r="G586">
        <v>0</v>
      </c>
      <c r="H586">
        <v>0</v>
      </c>
      <c r="I586">
        <v>0</v>
      </c>
      <c r="J586">
        <v>13.391806000000001</v>
      </c>
    </row>
    <row r="587" spans="1:10" x14ac:dyDescent="0.25">
      <c r="A587" t="s">
        <v>5</v>
      </c>
      <c r="B587" t="s">
        <v>78</v>
      </c>
      <c r="C587" s="9">
        <v>2008</v>
      </c>
      <c r="D587">
        <v>0</v>
      </c>
      <c r="E587">
        <v>0</v>
      </c>
      <c r="F587">
        <v>6.5567729999999997</v>
      </c>
      <c r="G587">
        <v>0</v>
      </c>
      <c r="H587">
        <v>0</v>
      </c>
      <c r="I587">
        <v>0</v>
      </c>
      <c r="J587">
        <v>6.5567729999999997</v>
      </c>
    </row>
    <row r="588" spans="1:10" x14ac:dyDescent="0.25">
      <c r="A588" t="s">
        <v>5</v>
      </c>
      <c r="B588" t="s">
        <v>78</v>
      </c>
      <c r="C588" s="9">
        <v>2009</v>
      </c>
      <c r="D588">
        <v>0</v>
      </c>
      <c r="E588">
        <v>0</v>
      </c>
      <c r="F588">
        <v>6.8099449999999999</v>
      </c>
      <c r="G588">
        <v>0</v>
      </c>
      <c r="H588">
        <v>0</v>
      </c>
      <c r="I588">
        <v>0</v>
      </c>
      <c r="J588">
        <v>6.8099449999999999</v>
      </c>
    </row>
    <row r="589" spans="1:10" x14ac:dyDescent="0.25">
      <c r="A589" t="s">
        <v>5</v>
      </c>
      <c r="B589" t="s">
        <v>78</v>
      </c>
      <c r="C589" s="9">
        <v>2010</v>
      </c>
      <c r="D589">
        <v>0</v>
      </c>
      <c r="E589">
        <v>0</v>
      </c>
      <c r="F589">
        <v>6.0557889999999999</v>
      </c>
      <c r="G589">
        <v>0</v>
      </c>
      <c r="H589">
        <v>0</v>
      </c>
      <c r="I589">
        <v>0</v>
      </c>
      <c r="J589">
        <v>6.0557889999999999</v>
      </c>
    </row>
    <row r="590" spans="1:10" x14ac:dyDescent="0.25">
      <c r="A590" t="s">
        <v>5</v>
      </c>
      <c r="B590" t="s">
        <v>78</v>
      </c>
      <c r="C590" s="9">
        <v>2011</v>
      </c>
      <c r="D590">
        <v>0</v>
      </c>
      <c r="E590">
        <v>0</v>
      </c>
      <c r="F590">
        <v>7.9697930000000001</v>
      </c>
      <c r="G590">
        <v>0</v>
      </c>
      <c r="H590">
        <v>0</v>
      </c>
      <c r="I590">
        <v>0</v>
      </c>
      <c r="J590">
        <v>7.9697930000000001</v>
      </c>
    </row>
    <row r="591" spans="1:10" x14ac:dyDescent="0.25">
      <c r="A591" t="s">
        <v>5</v>
      </c>
      <c r="B591" t="s">
        <v>78</v>
      </c>
      <c r="C591" s="9">
        <v>2012</v>
      </c>
      <c r="D591">
        <v>0</v>
      </c>
      <c r="E591">
        <v>0</v>
      </c>
      <c r="F591">
        <v>5.5967409999999997</v>
      </c>
      <c r="G591">
        <v>0</v>
      </c>
      <c r="H591">
        <v>0</v>
      </c>
      <c r="I591">
        <v>0</v>
      </c>
      <c r="J591">
        <v>5.5967409999999997</v>
      </c>
    </row>
    <row r="592" spans="1:10" x14ac:dyDescent="0.25">
      <c r="A592" t="s">
        <v>5</v>
      </c>
      <c r="B592" t="s">
        <v>78</v>
      </c>
      <c r="C592" s="9">
        <v>2013</v>
      </c>
      <c r="D592">
        <v>0</v>
      </c>
      <c r="E592">
        <v>0</v>
      </c>
      <c r="F592">
        <v>4.1598139999999999</v>
      </c>
      <c r="G592">
        <v>0</v>
      </c>
      <c r="H592">
        <v>0</v>
      </c>
      <c r="I592">
        <v>0</v>
      </c>
      <c r="J592">
        <v>4.1598139999999999</v>
      </c>
    </row>
    <row r="593" spans="1:10" x14ac:dyDescent="0.25">
      <c r="A593" t="s">
        <v>5</v>
      </c>
      <c r="B593" t="s">
        <v>78</v>
      </c>
      <c r="C593" s="9">
        <v>2014</v>
      </c>
      <c r="D593">
        <v>0</v>
      </c>
      <c r="E593">
        <v>0</v>
      </c>
      <c r="F593">
        <v>4.3112469999999998</v>
      </c>
      <c r="G593">
        <v>0</v>
      </c>
      <c r="H593">
        <v>0</v>
      </c>
      <c r="I593">
        <v>0</v>
      </c>
      <c r="J593">
        <v>4.3112469999999998</v>
      </c>
    </row>
    <row r="594" spans="1:10" x14ac:dyDescent="0.25">
      <c r="A594" t="s">
        <v>5</v>
      </c>
      <c r="B594" t="s">
        <v>78</v>
      </c>
      <c r="C594" s="9">
        <v>2015</v>
      </c>
      <c r="D594">
        <v>0</v>
      </c>
      <c r="E594">
        <v>0</v>
      </c>
      <c r="F594">
        <v>4.7569229999999996</v>
      </c>
      <c r="G594">
        <v>0</v>
      </c>
      <c r="H594">
        <v>0</v>
      </c>
      <c r="I594">
        <v>0</v>
      </c>
      <c r="J594">
        <v>4.7569229999999996</v>
      </c>
    </row>
    <row r="595" spans="1:10" x14ac:dyDescent="0.25">
      <c r="A595" t="s">
        <v>5</v>
      </c>
      <c r="B595" t="s">
        <v>78</v>
      </c>
      <c r="C595" s="9">
        <v>2016</v>
      </c>
      <c r="D595">
        <v>0</v>
      </c>
      <c r="E595">
        <v>0</v>
      </c>
      <c r="F595">
        <v>5.9188960000000002</v>
      </c>
      <c r="G595">
        <v>0</v>
      </c>
      <c r="H595">
        <v>0</v>
      </c>
      <c r="I595">
        <v>0</v>
      </c>
      <c r="J595">
        <v>5.9188960000000002</v>
      </c>
    </row>
    <row r="596" spans="1:10" x14ac:dyDescent="0.25">
      <c r="A596" t="s">
        <v>5</v>
      </c>
      <c r="B596" t="s">
        <v>78</v>
      </c>
      <c r="C596" s="9">
        <v>2017</v>
      </c>
      <c r="D596">
        <v>0</v>
      </c>
      <c r="E596">
        <v>0</v>
      </c>
      <c r="F596">
        <v>4.6606160000000001</v>
      </c>
      <c r="G596">
        <v>0</v>
      </c>
      <c r="H596">
        <v>0</v>
      </c>
      <c r="I596">
        <v>0</v>
      </c>
      <c r="J596">
        <v>4.6606160000000001</v>
      </c>
    </row>
    <row r="597" spans="1:10" x14ac:dyDescent="0.25">
      <c r="A597" t="s">
        <v>5</v>
      </c>
      <c r="B597" t="s">
        <v>79</v>
      </c>
      <c r="C597" s="9">
        <v>1995</v>
      </c>
      <c r="D597">
        <v>0.46948299999999998</v>
      </c>
      <c r="E597">
        <v>0</v>
      </c>
      <c r="F597">
        <v>0</v>
      </c>
      <c r="G597">
        <v>0</v>
      </c>
      <c r="H597">
        <v>0</v>
      </c>
      <c r="I597">
        <v>0</v>
      </c>
      <c r="J597">
        <v>0.46948299999999998</v>
      </c>
    </row>
    <row r="598" spans="1:10" x14ac:dyDescent="0.25">
      <c r="A598" t="s">
        <v>5</v>
      </c>
      <c r="B598" t="s">
        <v>79</v>
      </c>
      <c r="C598" s="9">
        <v>1996</v>
      </c>
      <c r="D598">
        <v>1.9804060000000001</v>
      </c>
      <c r="E598">
        <v>0</v>
      </c>
      <c r="F598">
        <v>0</v>
      </c>
      <c r="G598">
        <v>0</v>
      </c>
      <c r="H598">
        <v>0</v>
      </c>
      <c r="I598">
        <v>0</v>
      </c>
      <c r="J598">
        <v>1.9804060000000001</v>
      </c>
    </row>
    <row r="599" spans="1:10" x14ac:dyDescent="0.25">
      <c r="A599" t="s">
        <v>5</v>
      </c>
      <c r="B599" t="s">
        <v>79</v>
      </c>
      <c r="C599" s="9">
        <v>1997</v>
      </c>
      <c r="D599">
        <v>1.408345</v>
      </c>
      <c r="E599">
        <v>0</v>
      </c>
      <c r="F599">
        <v>0</v>
      </c>
      <c r="G599">
        <v>0</v>
      </c>
      <c r="H599">
        <v>0</v>
      </c>
      <c r="I599">
        <v>0</v>
      </c>
      <c r="J599">
        <v>1.408345</v>
      </c>
    </row>
    <row r="600" spans="1:10" x14ac:dyDescent="0.25">
      <c r="A600" t="s">
        <v>5</v>
      </c>
      <c r="B600" t="s">
        <v>79</v>
      </c>
      <c r="C600" s="9">
        <v>1998</v>
      </c>
      <c r="D600">
        <v>2.095672</v>
      </c>
      <c r="E600">
        <v>0</v>
      </c>
      <c r="F600">
        <v>0</v>
      </c>
      <c r="G600">
        <v>0</v>
      </c>
      <c r="H600">
        <v>0</v>
      </c>
      <c r="I600">
        <v>0</v>
      </c>
      <c r="J600">
        <v>2.095672</v>
      </c>
    </row>
    <row r="601" spans="1:10" x14ac:dyDescent="0.25">
      <c r="A601" t="s">
        <v>5</v>
      </c>
      <c r="B601" t="s">
        <v>79</v>
      </c>
      <c r="C601" s="9">
        <v>1990</v>
      </c>
      <c r="D601">
        <v>0</v>
      </c>
      <c r="E601">
        <v>0</v>
      </c>
      <c r="F601">
        <v>0</v>
      </c>
      <c r="G601">
        <v>0</v>
      </c>
      <c r="H601">
        <v>1234.212638</v>
      </c>
      <c r="I601">
        <v>0</v>
      </c>
      <c r="J601">
        <v>1234.212638</v>
      </c>
    </row>
    <row r="602" spans="1:10" x14ac:dyDescent="0.25">
      <c r="A602" t="s">
        <v>5</v>
      </c>
      <c r="B602" t="s">
        <v>79</v>
      </c>
      <c r="C602" s="9">
        <v>1991</v>
      </c>
      <c r="D602">
        <v>0</v>
      </c>
      <c r="E602">
        <v>0</v>
      </c>
      <c r="F602">
        <v>0</v>
      </c>
      <c r="G602">
        <v>0</v>
      </c>
      <c r="H602">
        <v>1234.212638</v>
      </c>
      <c r="I602">
        <v>0</v>
      </c>
      <c r="J602">
        <v>1234.212638</v>
      </c>
    </row>
    <row r="603" spans="1:10" x14ac:dyDescent="0.25">
      <c r="A603" t="s">
        <v>5</v>
      </c>
      <c r="B603" t="s">
        <v>79</v>
      </c>
      <c r="C603" s="9">
        <v>1992</v>
      </c>
      <c r="D603">
        <v>0</v>
      </c>
      <c r="E603">
        <v>0</v>
      </c>
      <c r="F603">
        <v>0</v>
      </c>
      <c r="G603">
        <v>0</v>
      </c>
      <c r="H603">
        <v>1165.5933480000001</v>
      </c>
      <c r="I603">
        <v>0</v>
      </c>
      <c r="J603">
        <v>1165.5933480000001</v>
      </c>
    </row>
    <row r="604" spans="1:10" x14ac:dyDescent="0.25">
      <c r="A604" t="s">
        <v>5</v>
      </c>
      <c r="B604" t="s">
        <v>79</v>
      </c>
      <c r="C604" s="9">
        <v>1993</v>
      </c>
      <c r="D604">
        <v>0</v>
      </c>
      <c r="E604">
        <v>0</v>
      </c>
      <c r="F604">
        <v>0</v>
      </c>
      <c r="G604">
        <v>0</v>
      </c>
      <c r="H604">
        <v>1334.212638</v>
      </c>
      <c r="I604">
        <v>0</v>
      </c>
      <c r="J604">
        <v>1334.212638</v>
      </c>
    </row>
    <row r="605" spans="1:10" x14ac:dyDescent="0.25">
      <c r="A605" t="s">
        <v>5</v>
      </c>
      <c r="B605" t="s">
        <v>79</v>
      </c>
      <c r="C605" s="9">
        <v>1994</v>
      </c>
      <c r="D605">
        <v>0</v>
      </c>
      <c r="E605">
        <v>0</v>
      </c>
      <c r="F605">
        <v>0</v>
      </c>
      <c r="G605">
        <v>0</v>
      </c>
      <c r="H605">
        <v>1443.0235290000001</v>
      </c>
      <c r="I605">
        <v>0</v>
      </c>
      <c r="J605">
        <v>1443.0235290000001</v>
      </c>
    </row>
    <row r="606" spans="1:10" x14ac:dyDescent="0.25">
      <c r="A606" t="s">
        <v>5</v>
      </c>
      <c r="B606" t="s">
        <v>79</v>
      </c>
      <c r="C606" s="9">
        <v>1995</v>
      </c>
      <c r="D606">
        <v>0</v>
      </c>
      <c r="E606">
        <v>0</v>
      </c>
      <c r="F606">
        <v>0</v>
      </c>
      <c r="G606">
        <v>0</v>
      </c>
      <c r="H606">
        <v>1524.911022</v>
      </c>
      <c r="I606">
        <v>0</v>
      </c>
      <c r="J606">
        <v>1524.911022</v>
      </c>
    </row>
    <row r="607" spans="1:10" x14ac:dyDescent="0.25">
      <c r="A607" t="s">
        <v>5</v>
      </c>
      <c r="B607" t="s">
        <v>79</v>
      </c>
      <c r="C607" s="9">
        <v>1996</v>
      </c>
      <c r="D607">
        <v>0</v>
      </c>
      <c r="E607">
        <v>0</v>
      </c>
      <c r="F607">
        <v>0</v>
      </c>
      <c r="G607">
        <v>0</v>
      </c>
      <c r="H607">
        <v>1573.439226</v>
      </c>
      <c r="I607">
        <v>0</v>
      </c>
      <c r="J607">
        <v>1573.439226</v>
      </c>
    </row>
    <row r="608" spans="1:10" x14ac:dyDescent="0.25">
      <c r="A608" t="s">
        <v>5</v>
      </c>
      <c r="B608" t="s">
        <v>79</v>
      </c>
      <c r="C608" s="9">
        <v>1997</v>
      </c>
      <c r="D608">
        <v>0</v>
      </c>
      <c r="E608">
        <v>0</v>
      </c>
      <c r="F608">
        <v>0</v>
      </c>
      <c r="G608">
        <v>0</v>
      </c>
      <c r="H608">
        <v>1573.2188229999999</v>
      </c>
      <c r="I608">
        <v>0</v>
      </c>
      <c r="J608">
        <v>1573.2188229999999</v>
      </c>
    </row>
    <row r="609" spans="1:10" x14ac:dyDescent="0.25">
      <c r="A609" t="s">
        <v>5</v>
      </c>
      <c r="B609" t="s">
        <v>79</v>
      </c>
      <c r="C609" s="9">
        <v>1998</v>
      </c>
      <c r="D609">
        <v>0</v>
      </c>
      <c r="E609">
        <v>0</v>
      </c>
      <c r="F609">
        <v>0</v>
      </c>
      <c r="G609">
        <v>0</v>
      </c>
      <c r="H609">
        <v>1456.0072520000001</v>
      </c>
      <c r="I609">
        <v>0</v>
      </c>
      <c r="J609">
        <v>1456.0072520000001</v>
      </c>
    </row>
    <row r="610" spans="1:10" x14ac:dyDescent="0.25">
      <c r="A610" t="s">
        <v>5</v>
      </c>
      <c r="B610" t="s">
        <v>79</v>
      </c>
      <c r="C610" s="9">
        <v>1999</v>
      </c>
      <c r="D610">
        <v>0</v>
      </c>
      <c r="E610">
        <v>0</v>
      </c>
      <c r="F610">
        <v>0</v>
      </c>
      <c r="G610">
        <v>0</v>
      </c>
      <c r="H610">
        <v>1491.670228</v>
      </c>
      <c r="I610">
        <v>0</v>
      </c>
      <c r="J610">
        <v>1491.670228</v>
      </c>
    </row>
    <row r="611" spans="1:10" x14ac:dyDescent="0.25">
      <c r="A611" t="s">
        <v>5</v>
      </c>
      <c r="B611" t="s">
        <v>79</v>
      </c>
      <c r="C611" s="9">
        <v>2000</v>
      </c>
      <c r="D611">
        <v>0</v>
      </c>
      <c r="E611">
        <v>0</v>
      </c>
      <c r="F611">
        <v>0</v>
      </c>
      <c r="G611">
        <v>0</v>
      </c>
      <c r="H611">
        <v>1563.3774619999999</v>
      </c>
      <c r="I611">
        <v>0</v>
      </c>
      <c r="J611">
        <v>1563.3774619999999</v>
      </c>
    </row>
    <row r="612" spans="1:10" x14ac:dyDescent="0.25">
      <c r="A612" t="s">
        <v>5</v>
      </c>
      <c r="B612" t="s">
        <v>79</v>
      </c>
      <c r="C612" s="9">
        <v>2001</v>
      </c>
      <c r="D612">
        <v>0</v>
      </c>
      <c r="E612">
        <v>0</v>
      </c>
      <c r="F612">
        <v>0</v>
      </c>
      <c r="G612">
        <v>0</v>
      </c>
      <c r="H612">
        <v>1657.755007</v>
      </c>
      <c r="I612">
        <v>0</v>
      </c>
      <c r="J612">
        <v>1657.755007</v>
      </c>
    </row>
    <row r="613" spans="1:10" x14ac:dyDescent="0.25">
      <c r="A613" t="s">
        <v>5</v>
      </c>
      <c r="B613" t="s">
        <v>79</v>
      </c>
      <c r="C613" s="9">
        <v>2002</v>
      </c>
      <c r="D613">
        <v>0</v>
      </c>
      <c r="E613">
        <v>0</v>
      </c>
      <c r="F613">
        <v>0</v>
      </c>
      <c r="G613">
        <v>0</v>
      </c>
      <c r="H613">
        <v>1841.0324619999999</v>
      </c>
      <c r="I613">
        <v>0</v>
      </c>
      <c r="J613">
        <v>1841.0324619999999</v>
      </c>
    </row>
    <row r="614" spans="1:10" x14ac:dyDescent="0.25">
      <c r="A614" t="s">
        <v>5</v>
      </c>
      <c r="B614" t="s">
        <v>79</v>
      </c>
      <c r="C614" s="9">
        <v>2003</v>
      </c>
      <c r="D614">
        <v>0</v>
      </c>
      <c r="E614">
        <v>0</v>
      </c>
      <c r="F614">
        <v>0</v>
      </c>
      <c r="G614">
        <v>0</v>
      </c>
      <c r="H614">
        <v>1941.2195589999999</v>
      </c>
      <c r="I614">
        <v>0</v>
      </c>
      <c r="J614">
        <v>1941.2195589999999</v>
      </c>
    </row>
    <row r="615" spans="1:10" x14ac:dyDescent="0.25">
      <c r="A615" t="s">
        <v>5</v>
      </c>
      <c r="B615" t="s">
        <v>79</v>
      </c>
      <c r="C615" s="9">
        <v>2004</v>
      </c>
      <c r="D615">
        <v>0</v>
      </c>
      <c r="E615">
        <v>0</v>
      </c>
      <c r="F615">
        <v>0</v>
      </c>
      <c r="G615">
        <v>0</v>
      </c>
      <c r="H615">
        <v>1979.206729</v>
      </c>
      <c r="I615">
        <v>0</v>
      </c>
      <c r="J615">
        <v>1979.206729</v>
      </c>
    </row>
    <row r="616" spans="1:10" x14ac:dyDescent="0.25">
      <c r="A616" t="s">
        <v>5</v>
      </c>
      <c r="B616" t="s">
        <v>79</v>
      </c>
      <c r="C616" s="9">
        <v>2005</v>
      </c>
      <c r="D616">
        <v>0</v>
      </c>
      <c r="E616">
        <v>0</v>
      </c>
      <c r="F616">
        <v>0</v>
      </c>
      <c r="G616">
        <v>0</v>
      </c>
      <c r="H616">
        <v>1923.9182129999999</v>
      </c>
      <c r="I616">
        <v>0</v>
      </c>
      <c r="J616">
        <v>1923.9182129999999</v>
      </c>
    </row>
    <row r="617" spans="1:10" x14ac:dyDescent="0.25">
      <c r="A617" t="s">
        <v>5</v>
      </c>
      <c r="B617" t="s">
        <v>79</v>
      </c>
      <c r="C617" s="9">
        <v>2006</v>
      </c>
      <c r="D617">
        <v>0</v>
      </c>
      <c r="E617">
        <v>0</v>
      </c>
      <c r="F617">
        <v>0</v>
      </c>
      <c r="G617">
        <v>0</v>
      </c>
      <c r="H617">
        <v>1806.7797029999999</v>
      </c>
      <c r="I617">
        <v>0</v>
      </c>
      <c r="J617">
        <v>1806.7797029999999</v>
      </c>
    </row>
    <row r="618" spans="1:10" x14ac:dyDescent="0.25">
      <c r="A618" t="s">
        <v>5</v>
      </c>
      <c r="B618" t="s">
        <v>79</v>
      </c>
      <c r="C618" s="9">
        <v>2007</v>
      </c>
      <c r="D618">
        <v>0</v>
      </c>
      <c r="E618">
        <v>0</v>
      </c>
      <c r="F618">
        <v>0</v>
      </c>
      <c r="G618">
        <v>0</v>
      </c>
      <c r="H618">
        <v>1917.0411509999999</v>
      </c>
      <c r="I618">
        <v>0</v>
      </c>
      <c r="J618">
        <v>1917.0411509999999</v>
      </c>
    </row>
    <row r="619" spans="1:10" x14ac:dyDescent="0.25">
      <c r="A619" t="s">
        <v>5</v>
      </c>
      <c r="B619" t="s">
        <v>79</v>
      </c>
      <c r="C619" s="9">
        <v>2008</v>
      </c>
      <c r="D619">
        <v>0</v>
      </c>
      <c r="E619">
        <v>0</v>
      </c>
      <c r="F619">
        <v>0</v>
      </c>
      <c r="G619">
        <v>0</v>
      </c>
      <c r="H619">
        <v>1994.5907360000001</v>
      </c>
      <c r="I619">
        <v>0</v>
      </c>
      <c r="J619">
        <v>1994.5907360000001</v>
      </c>
    </row>
    <row r="620" spans="1:10" x14ac:dyDescent="0.25">
      <c r="A620" t="s">
        <v>5</v>
      </c>
      <c r="B620" t="s">
        <v>79</v>
      </c>
      <c r="C620" s="9">
        <v>2009</v>
      </c>
      <c r="D620">
        <v>0</v>
      </c>
      <c r="E620">
        <v>0</v>
      </c>
      <c r="F620">
        <v>0</v>
      </c>
      <c r="G620">
        <v>0</v>
      </c>
      <c r="H620">
        <v>2047.314901</v>
      </c>
      <c r="I620">
        <v>0</v>
      </c>
      <c r="J620">
        <v>2047.314901</v>
      </c>
    </row>
    <row r="621" spans="1:10" x14ac:dyDescent="0.25">
      <c r="A621" t="s">
        <v>5</v>
      </c>
      <c r="B621" t="s">
        <v>79</v>
      </c>
      <c r="C621" s="9">
        <v>2010</v>
      </c>
      <c r="D621">
        <v>0</v>
      </c>
      <c r="E621">
        <v>0</v>
      </c>
      <c r="F621">
        <v>0</v>
      </c>
      <c r="G621">
        <v>0</v>
      </c>
      <c r="H621">
        <v>1944.1881129999999</v>
      </c>
      <c r="I621">
        <v>0</v>
      </c>
      <c r="J621">
        <v>1944.1881129999999</v>
      </c>
    </row>
    <row r="622" spans="1:10" x14ac:dyDescent="0.25">
      <c r="A622" t="s">
        <v>5</v>
      </c>
      <c r="B622" t="s">
        <v>79</v>
      </c>
      <c r="C622" s="9">
        <v>2011</v>
      </c>
      <c r="D622">
        <v>0</v>
      </c>
      <c r="E622">
        <v>0</v>
      </c>
      <c r="F622">
        <v>0</v>
      </c>
      <c r="G622">
        <v>0</v>
      </c>
      <c r="H622">
        <v>1995.364585</v>
      </c>
      <c r="I622">
        <v>0</v>
      </c>
      <c r="J622">
        <v>1995.364585</v>
      </c>
    </row>
    <row r="623" spans="1:10" x14ac:dyDescent="0.25">
      <c r="A623" t="s">
        <v>5</v>
      </c>
      <c r="B623" t="s">
        <v>79</v>
      </c>
      <c r="C623" s="9">
        <v>2012</v>
      </c>
      <c r="D623">
        <v>0</v>
      </c>
      <c r="E623">
        <v>0</v>
      </c>
      <c r="F623">
        <v>0</v>
      </c>
      <c r="G623">
        <v>0</v>
      </c>
      <c r="H623">
        <v>1931.096949</v>
      </c>
      <c r="I623">
        <v>0</v>
      </c>
      <c r="J623">
        <v>1931.096949</v>
      </c>
    </row>
    <row r="624" spans="1:10" x14ac:dyDescent="0.25">
      <c r="A624" t="s">
        <v>5</v>
      </c>
      <c r="B624" t="s">
        <v>79</v>
      </c>
      <c r="C624" s="9">
        <v>2013</v>
      </c>
      <c r="D624">
        <v>0</v>
      </c>
      <c r="E624">
        <v>0</v>
      </c>
      <c r="F624">
        <v>0</v>
      </c>
      <c r="G624">
        <v>0</v>
      </c>
      <c r="H624">
        <v>2265.5859</v>
      </c>
      <c r="I624">
        <v>0</v>
      </c>
      <c r="J624">
        <v>2265.5859</v>
      </c>
    </row>
    <row r="625" spans="1:10" x14ac:dyDescent="0.25">
      <c r="A625" t="s">
        <v>5</v>
      </c>
      <c r="B625" t="s">
        <v>79</v>
      </c>
      <c r="C625" s="9">
        <v>2014</v>
      </c>
      <c r="D625">
        <v>0</v>
      </c>
      <c r="E625">
        <v>0</v>
      </c>
      <c r="F625">
        <v>0</v>
      </c>
      <c r="G625">
        <v>0</v>
      </c>
      <c r="H625">
        <v>2285.477989</v>
      </c>
      <c r="I625">
        <v>0</v>
      </c>
      <c r="J625">
        <v>2285.477989</v>
      </c>
    </row>
    <row r="626" spans="1:10" x14ac:dyDescent="0.25">
      <c r="A626" t="s">
        <v>5</v>
      </c>
      <c r="B626" t="s">
        <v>79</v>
      </c>
      <c r="C626" s="9">
        <v>2015</v>
      </c>
      <c r="D626">
        <v>0</v>
      </c>
      <c r="E626">
        <v>0</v>
      </c>
      <c r="F626">
        <v>0</v>
      </c>
      <c r="G626">
        <v>0</v>
      </c>
      <c r="H626">
        <v>2337.5663599999998</v>
      </c>
      <c r="I626">
        <v>0</v>
      </c>
      <c r="J626">
        <v>2337.5663599999998</v>
      </c>
    </row>
    <row r="627" spans="1:10" x14ac:dyDescent="0.25">
      <c r="A627" t="s">
        <v>5</v>
      </c>
      <c r="B627" t="s">
        <v>79</v>
      </c>
      <c r="C627" s="9">
        <v>2016</v>
      </c>
      <c r="D627">
        <v>0</v>
      </c>
      <c r="E627">
        <v>0</v>
      </c>
      <c r="F627">
        <v>0</v>
      </c>
      <c r="G627">
        <v>0</v>
      </c>
      <c r="H627">
        <v>2044.806844</v>
      </c>
      <c r="I627">
        <v>0</v>
      </c>
      <c r="J627">
        <v>2044.806844</v>
      </c>
    </row>
    <row r="628" spans="1:10" x14ac:dyDescent="0.25">
      <c r="A628" t="s">
        <v>5</v>
      </c>
      <c r="B628" t="s">
        <v>79</v>
      </c>
      <c r="C628" s="9">
        <v>2017</v>
      </c>
      <c r="D628">
        <v>0</v>
      </c>
      <c r="E628">
        <v>0</v>
      </c>
      <c r="F628">
        <v>0</v>
      </c>
      <c r="G628">
        <v>0</v>
      </c>
      <c r="H628">
        <v>1915.7674010000001</v>
      </c>
      <c r="I628">
        <v>0</v>
      </c>
      <c r="J628">
        <v>1915.7674010000001</v>
      </c>
    </row>
  </sheetData>
  <mergeCells count="2">
    <mergeCell ref="L3:N3"/>
    <mergeCell ref="A1:E1"/>
  </mergeCells>
  <pageMargins left="0.7" right="0.7" top="0.75" bottom="0.75"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1">
              <controlPr defaultSize="0" autoLine="0" autoPict="0" macro="[0]!FilterData" altText="Select a Utility to Chart">
                <anchor moveWithCells="1">
                  <from>
                    <xdr:col>1</xdr:col>
                    <xdr:colOff>9525</xdr:colOff>
                    <xdr:row>1</xdr:row>
                    <xdr:rowOff>28575</xdr:rowOff>
                  </from>
                  <to>
                    <xdr:col>1</xdr:col>
                    <xdr:colOff>1771650</xdr:colOff>
                    <xdr:row>2</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32B12-6A37-4857-BE3E-7E9764E9BDED}">
  <sheetPr codeName="Sheet9"/>
  <dimension ref="A1:J173"/>
  <sheetViews>
    <sheetView topLeftCell="H1" zoomScale="90" zoomScaleNormal="90" workbookViewId="0">
      <selection activeCell="H10" sqref="H10"/>
    </sheetView>
  </sheetViews>
  <sheetFormatPr defaultRowHeight="15" x14ac:dyDescent="0.25"/>
  <cols>
    <col min="1" max="1" width="20.85546875" bestFit="1" customWidth="1"/>
    <col min="2" max="2" width="31.28515625" bestFit="1" customWidth="1"/>
    <col min="3" max="3" width="5.5703125" bestFit="1" customWidth="1"/>
    <col min="4" max="4" width="17" bestFit="1" customWidth="1"/>
    <col min="5" max="5" width="19.5703125" bestFit="1" customWidth="1"/>
    <col min="6" max="6" width="17.42578125" bestFit="1" customWidth="1"/>
    <col min="7" max="7" width="13.28515625" bestFit="1" customWidth="1"/>
    <col min="8" max="8" width="21.42578125" bestFit="1" customWidth="1"/>
    <col min="9" max="10" width="13.28515625" bestFit="1" customWidth="1"/>
  </cols>
  <sheetData>
    <row r="1" spans="1:10" x14ac:dyDescent="0.25">
      <c r="A1" s="5"/>
      <c r="B1" s="5"/>
      <c r="C1" s="5"/>
      <c r="D1" s="5"/>
      <c r="E1" s="5"/>
      <c r="F1" s="5"/>
      <c r="G1" s="5"/>
      <c r="H1" s="5"/>
      <c r="I1" s="5"/>
      <c r="J1" s="5"/>
    </row>
    <row r="5" spans="1:10" x14ac:dyDescent="0.25">
      <c r="A5" s="8" t="s">
        <v>0</v>
      </c>
      <c r="B5" s="8" t="s">
        <v>6</v>
      </c>
      <c r="C5" s="8" t="s">
        <v>80</v>
      </c>
      <c r="D5" s="8" t="s">
        <v>81</v>
      </c>
      <c r="E5" s="8" t="s">
        <v>82</v>
      </c>
      <c r="F5" s="8" t="s">
        <v>83</v>
      </c>
      <c r="G5" s="8" t="s">
        <v>84</v>
      </c>
      <c r="H5" s="8" t="s">
        <v>85</v>
      </c>
      <c r="I5" s="8" t="s">
        <v>86</v>
      </c>
      <c r="J5" s="8" t="s">
        <v>87</v>
      </c>
    </row>
    <row r="6" spans="1:10" x14ac:dyDescent="0.25">
      <c r="A6" t="s">
        <v>3</v>
      </c>
      <c r="B6" t="s">
        <v>41</v>
      </c>
      <c r="C6" s="9">
        <v>1990</v>
      </c>
      <c r="D6">
        <v>56.225745000000003</v>
      </c>
      <c r="E6">
        <v>757.80782999999997</v>
      </c>
      <c r="F6">
        <v>57.704821000000003</v>
      </c>
      <c r="G6">
        <v>1069.731295</v>
      </c>
      <c r="H6">
        <v>586.27234399999998</v>
      </c>
      <c r="I6">
        <v>2629.3475130000002</v>
      </c>
      <c r="J6">
        <v>5157.0895479999999</v>
      </c>
    </row>
    <row r="7" spans="1:10" x14ac:dyDescent="0.25">
      <c r="A7" t="s">
        <v>3</v>
      </c>
      <c r="B7" t="s">
        <v>41</v>
      </c>
      <c r="C7" s="9">
        <v>1991</v>
      </c>
      <c r="D7">
        <v>52.071269000000001</v>
      </c>
      <c r="E7">
        <v>745.34447999999998</v>
      </c>
      <c r="F7">
        <v>99.810441999999995</v>
      </c>
      <c r="G7">
        <v>1022.572779</v>
      </c>
      <c r="H7">
        <v>687.14943400000004</v>
      </c>
      <c r="I7">
        <v>2648.6256020000001</v>
      </c>
      <c r="J7">
        <v>5255.5740059999998</v>
      </c>
    </row>
    <row r="8" spans="1:10" x14ac:dyDescent="0.25">
      <c r="A8" t="s">
        <v>3</v>
      </c>
      <c r="B8" t="s">
        <v>41</v>
      </c>
      <c r="C8" s="9">
        <v>1992</v>
      </c>
      <c r="D8">
        <v>51.518180999999998</v>
      </c>
      <c r="E8">
        <v>724.43559600000003</v>
      </c>
      <c r="F8">
        <v>67.804311999999996</v>
      </c>
      <c r="G8">
        <v>951.67853700000001</v>
      </c>
      <c r="H8">
        <v>761.909986</v>
      </c>
      <c r="I8">
        <v>2588.3147429999999</v>
      </c>
      <c r="J8">
        <v>5145.6613550000002</v>
      </c>
    </row>
    <row r="9" spans="1:10" x14ac:dyDescent="0.25">
      <c r="A9" t="s">
        <v>3</v>
      </c>
      <c r="B9" t="s">
        <v>41</v>
      </c>
      <c r="C9" s="9">
        <v>1993</v>
      </c>
      <c r="D9">
        <v>47.796039</v>
      </c>
      <c r="E9">
        <v>740.81054500000005</v>
      </c>
      <c r="F9">
        <v>56.299388</v>
      </c>
      <c r="G9">
        <v>1004.075301</v>
      </c>
      <c r="H9">
        <v>503.05881499999998</v>
      </c>
      <c r="I9">
        <v>2565.1872290000001</v>
      </c>
      <c r="J9">
        <v>4917.2273169999999</v>
      </c>
    </row>
    <row r="10" spans="1:10" x14ac:dyDescent="0.25">
      <c r="A10" t="s">
        <v>3</v>
      </c>
      <c r="B10" t="s">
        <v>41</v>
      </c>
      <c r="C10" s="9">
        <v>1994</v>
      </c>
      <c r="D10">
        <v>56.357881999999996</v>
      </c>
      <c r="E10">
        <v>734.59005200000001</v>
      </c>
      <c r="F10">
        <v>55.197733999999997</v>
      </c>
      <c r="G10">
        <v>1071.316558</v>
      </c>
      <c r="H10">
        <v>403.01429999999999</v>
      </c>
      <c r="I10">
        <v>2611.052146</v>
      </c>
      <c r="J10">
        <v>4931.5286720000004</v>
      </c>
    </row>
    <row r="11" spans="1:10" x14ac:dyDescent="0.25">
      <c r="A11" t="s">
        <v>3</v>
      </c>
      <c r="B11" t="s">
        <v>41</v>
      </c>
      <c r="C11" s="9">
        <v>1995</v>
      </c>
      <c r="D11">
        <v>51.522362000000001</v>
      </c>
      <c r="E11">
        <v>693.60781899999995</v>
      </c>
      <c r="F11">
        <v>87.919120000000007</v>
      </c>
      <c r="G11">
        <v>1041.7938610000001</v>
      </c>
      <c r="H11">
        <v>382.85009400000001</v>
      </c>
      <c r="I11">
        <v>2410.5864390000002</v>
      </c>
      <c r="J11">
        <v>4668.2796950000002</v>
      </c>
    </row>
    <row r="12" spans="1:10" x14ac:dyDescent="0.25">
      <c r="A12" t="s">
        <v>3</v>
      </c>
      <c r="B12" t="s">
        <v>41</v>
      </c>
      <c r="C12" s="9">
        <v>1996</v>
      </c>
      <c r="D12">
        <v>58.417149000000002</v>
      </c>
      <c r="E12">
        <v>736.22725500000001</v>
      </c>
      <c r="F12">
        <v>111.278847</v>
      </c>
      <c r="G12">
        <v>1503.418999</v>
      </c>
      <c r="H12">
        <v>453.671783</v>
      </c>
      <c r="I12">
        <v>2433.092666</v>
      </c>
      <c r="J12">
        <v>5296.1066989999999</v>
      </c>
    </row>
    <row r="13" spans="1:10" x14ac:dyDescent="0.25">
      <c r="A13" t="s">
        <v>3</v>
      </c>
      <c r="B13" t="s">
        <v>41</v>
      </c>
      <c r="C13" s="9">
        <v>1997</v>
      </c>
      <c r="D13">
        <v>65.316205999999994</v>
      </c>
      <c r="E13">
        <v>724.57169099999999</v>
      </c>
      <c r="F13">
        <v>92.314482999999996</v>
      </c>
      <c r="G13">
        <v>1471.9392270000001</v>
      </c>
      <c r="H13">
        <v>459.65597700000001</v>
      </c>
      <c r="I13">
        <v>2394.4734440000002</v>
      </c>
      <c r="J13">
        <v>5208.2710280000001</v>
      </c>
    </row>
    <row r="14" spans="1:10" x14ac:dyDescent="0.25">
      <c r="A14" t="s">
        <v>3</v>
      </c>
      <c r="B14" t="s">
        <v>41</v>
      </c>
      <c r="C14" s="9">
        <v>1998</v>
      </c>
      <c r="D14">
        <v>68.384428999999997</v>
      </c>
      <c r="E14">
        <v>816.32912399999998</v>
      </c>
      <c r="F14">
        <v>69.923176999999995</v>
      </c>
      <c r="G14">
        <v>1607.887481</v>
      </c>
      <c r="H14">
        <v>556.96498399999996</v>
      </c>
      <c r="I14">
        <v>2759.5596860000001</v>
      </c>
      <c r="J14">
        <v>5879.0488809999997</v>
      </c>
    </row>
    <row r="15" spans="1:10" x14ac:dyDescent="0.25">
      <c r="A15" t="s">
        <v>3</v>
      </c>
      <c r="B15" t="s">
        <v>41</v>
      </c>
      <c r="C15" s="9">
        <v>1999</v>
      </c>
      <c r="D15">
        <v>84.673705999999996</v>
      </c>
      <c r="E15">
        <v>849.103295</v>
      </c>
      <c r="F15">
        <v>71.356356000000005</v>
      </c>
      <c r="G15">
        <v>1675.0445990000001</v>
      </c>
      <c r="H15">
        <v>470.06815899999998</v>
      </c>
      <c r="I15">
        <v>2814.0746370000002</v>
      </c>
      <c r="J15">
        <v>5964.3207519999996</v>
      </c>
    </row>
    <row r="16" spans="1:10" x14ac:dyDescent="0.25">
      <c r="A16" t="s">
        <v>3</v>
      </c>
      <c r="B16" t="s">
        <v>41</v>
      </c>
      <c r="C16" s="9">
        <v>2000</v>
      </c>
      <c r="D16">
        <v>89.486869999999996</v>
      </c>
      <c r="E16">
        <v>817.96958800000004</v>
      </c>
      <c r="F16">
        <v>62.600687000000001</v>
      </c>
      <c r="G16">
        <v>1648.2985510000001</v>
      </c>
      <c r="H16">
        <v>522.22981500000003</v>
      </c>
      <c r="I16">
        <v>2588.3073810000001</v>
      </c>
      <c r="J16">
        <v>5728.8928919999998</v>
      </c>
    </row>
    <row r="17" spans="1:10" x14ac:dyDescent="0.25">
      <c r="A17" t="s">
        <v>3</v>
      </c>
      <c r="B17" t="s">
        <v>41</v>
      </c>
      <c r="C17" s="9">
        <v>2001</v>
      </c>
      <c r="D17">
        <v>73.940460999999999</v>
      </c>
      <c r="E17">
        <v>836.105907</v>
      </c>
      <c r="F17">
        <v>63.712440999999998</v>
      </c>
      <c r="G17">
        <v>1450.4360019999999</v>
      </c>
      <c r="H17">
        <v>359.74299000000002</v>
      </c>
      <c r="I17">
        <v>2657.1658710000002</v>
      </c>
      <c r="J17">
        <v>5441.1036720000002</v>
      </c>
    </row>
    <row r="18" spans="1:10" x14ac:dyDescent="0.25">
      <c r="A18" t="s">
        <v>3</v>
      </c>
      <c r="B18" t="s">
        <v>41</v>
      </c>
      <c r="C18" s="9">
        <v>2002</v>
      </c>
      <c r="D18">
        <v>83.996285</v>
      </c>
      <c r="E18">
        <v>848.65994499999999</v>
      </c>
      <c r="F18">
        <v>93.813902999999996</v>
      </c>
      <c r="G18">
        <v>1557.837411</v>
      </c>
      <c r="H18">
        <v>485.45705099999998</v>
      </c>
      <c r="I18">
        <v>2623.3348120000001</v>
      </c>
      <c r="J18">
        <v>5693.0994069999997</v>
      </c>
    </row>
    <row r="19" spans="1:10" x14ac:dyDescent="0.25">
      <c r="A19" t="s">
        <v>3</v>
      </c>
      <c r="B19" t="s">
        <v>41</v>
      </c>
      <c r="C19" s="9">
        <v>2003</v>
      </c>
      <c r="D19">
        <v>99.005668</v>
      </c>
      <c r="E19">
        <v>870.78807300000005</v>
      </c>
      <c r="F19">
        <v>73.544270999999995</v>
      </c>
      <c r="G19">
        <v>1436.8979870000001</v>
      </c>
      <c r="H19">
        <v>483.98540400000002</v>
      </c>
      <c r="I19">
        <v>2466.9313809999999</v>
      </c>
      <c r="J19">
        <v>5431.1527839999999</v>
      </c>
    </row>
    <row r="20" spans="1:10" x14ac:dyDescent="0.25">
      <c r="A20" t="s">
        <v>3</v>
      </c>
      <c r="B20" t="s">
        <v>41</v>
      </c>
      <c r="C20" s="9">
        <v>2004</v>
      </c>
      <c r="D20">
        <v>101.360961</v>
      </c>
      <c r="E20">
        <v>929.08929699999999</v>
      </c>
      <c r="F20">
        <v>73.683620000000005</v>
      </c>
      <c r="G20">
        <v>1461.1715730000001</v>
      </c>
      <c r="H20">
        <v>413.486558</v>
      </c>
      <c r="I20">
        <v>2616.039565</v>
      </c>
      <c r="J20">
        <v>5594.8315739999998</v>
      </c>
    </row>
    <row r="21" spans="1:10" x14ac:dyDescent="0.25">
      <c r="A21" t="s">
        <v>3</v>
      </c>
      <c r="B21" t="s">
        <v>41</v>
      </c>
      <c r="C21" s="9">
        <v>2005</v>
      </c>
      <c r="D21">
        <v>84.830652999999998</v>
      </c>
      <c r="E21">
        <v>921.44074899999998</v>
      </c>
      <c r="F21">
        <v>73.874815999999996</v>
      </c>
      <c r="G21">
        <v>1454.493226</v>
      </c>
      <c r="H21">
        <v>410.34044399999999</v>
      </c>
      <c r="I21">
        <v>2434.097166</v>
      </c>
      <c r="J21">
        <v>5379.0770540000003</v>
      </c>
    </row>
    <row r="22" spans="1:10" x14ac:dyDescent="0.25">
      <c r="A22" t="s">
        <v>3</v>
      </c>
      <c r="B22" t="s">
        <v>41</v>
      </c>
      <c r="C22" s="9">
        <v>2006</v>
      </c>
      <c r="D22">
        <v>85.818032000000002</v>
      </c>
      <c r="E22">
        <v>898.03384000000005</v>
      </c>
      <c r="F22">
        <v>69.731311000000005</v>
      </c>
      <c r="G22">
        <v>1436.3547349999999</v>
      </c>
      <c r="H22">
        <v>449.40957600000002</v>
      </c>
      <c r="I22">
        <v>2497.8833650000001</v>
      </c>
      <c r="J22">
        <v>5437.2308590000002</v>
      </c>
    </row>
    <row r="23" spans="1:10" x14ac:dyDescent="0.25">
      <c r="A23" t="s">
        <v>3</v>
      </c>
      <c r="B23" t="s">
        <v>41</v>
      </c>
      <c r="C23" s="9">
        <v>2007</v>
      </c>
      <c r="D23">
        <v>86.176641000000004</v>
      </c>
      <c r="E23">
        <v>913.75624100000005</v>
      </c>
      <c r="F23">
        <v>104.95406699999999</v>
      </c>
      <c r="G23">
        <v>1500.1831139999999</v>
      </c>
      <c r="H23">
        <v>464.08453200000002</v>
      </c>
      <c r="I23">
        <v>2523.0350149999999</v>
      </c>
      <c r="J23">
        <v>5592.1896100000004</v>
      </c>
    </row>
    <row r="24" spans="1:10" x14ac:dyDescent="0.25">
      <c r="A24" t="s">
        <v>3</v>
      </c>
      <c r="B24" t="s">
        <v>41</v>
      </c>
      <c r="C24" s="9">
        <v>2008</v>
      </c>
      <c r="D24">
        <v>82.586427999999998</v>
      </c>
      <c r="E24">
        <v>882.10654099999999</v>
      </c>
      <c r="F24">
        <v>52.121913999999997</v>
      </c>
      <c r="G24">
        <v>1548.505762</v>
      </c>
      <c r="H24">
        <v>411.09960100000001</v>
      </c>
      <c r="I24">
        <v>2480.1702260000002</v>
      </c>
      <c r="J24">
        <v>5456.5904719999999</v>
      </c>
    </row>
    <row r="25" spans="1:10" x14ac:dyDescent="0.25">
      <c r="A25" t="s">
        <v>3</v>
      </c>
      <c r="B25" t="s">
        <v>41</v>
      </c>
      <c r="C25" s="9">
        <v>2009</v>
      </c>
      <c r="D25">
        <v>78.805265000000006</v>
      </c>
      <c r="E25">
        <v>864.31666399999995</v>
      </c>
      <c r="F25">
        <v>50.141226000000003</v>
      </c>
      <c r="G25">
        <v>1438.1884050000001</v>
      </c>
      <c r="H25">
        <v>261.43415399999998</v>
      </c>
      <c r="I25">
        <v>2441.8329680000002</v>
      </c>
      <c r="J25">
        <v>5134.7186819999997</v>
      </c>
    </row>
    <row r="26" spans="1:10" x14ac:dyDescent="0.25">
      <c r="A26" t="s">
        <v>3</v>
      </c>
      <c r="B26" t="s">
        <v>41</v>
      </c>
      <c r="C26" s="9">
        <v>2010</v>
      </c>
      <c r="D26">
        <v>66.107736000000003</v>
      </c>
      <c r="E26">
        <v>897.95026499999994</v>
      </c>
      <c r="F26">
        <v>47.786755999999997</v>
      </c>
      <c r="G26">
        <v>1578.5225660000001</v>
      </c>
      <c r="H26">
        <v>190.390062</v>
      </c>
      <c r="I26">
        <v>2532.645305</v>
      </c>
      <c r="J26">
        <v>5313.4026899999999</v>
      </c>
    </row>
    <row r="27" spans="1:10" x14ac:dyDescent="0.25">
      <c r="A27" t="s">
        <v>3</v>
      </c>
      <c r="B27" t="s">
        <v>41</v>
      </c>
      <c r="C27" s="9">
        <v>2011</v>
      </c>
      <c r="D27">
        <v>62.906911999999998</v>
      </c>
      <c r="E27">
        <v>913.79469600000004</v>
      </c>
      <c r="F27">
        <v>47.357740999999997</v>
      </c>
      <c r="G27">
        <v>1576.165094</v>
      </c>
      <c r="H27">
        <v>181.69610499999999</v>
      </c>
      <c r="I27">
        <v>2564.7301219999999</v>
      </c>
      <c r="J27">
        <v>5346.65067</v>
      </c>
    </row>
    <row r="28" spans="1:10" x14ac:dyDescent="0.25">
      <c r="A28" t="s">
        <v>3</v>
      </c>
      <c r="B28" t="s">
        <v>41</v>
      </c>
      <c r="C28" s="9">
        <v>2012</v>
      </c>
      <c r="D28">
        <v>70.698425999999998</v>
      </c>
      <c r="E28">
        <v>897.34731499999998</v>
      </c>
      <c r="F28">
        <v>48.385438999999998</v>
      </c>
      <c r="G28">
        <v>1586.8583980000001</v>
      </c>
      <c r="H28">
        <v>218.61480800000001</v>
      </c>
      <c r="I28">
        <v>2385.6428649999998</v>
      </c>
      <c r="J28">
        <v>5207.547251</v>
      </c>
    </row>
    <row r="29" spans="1:10" x14ac:dyDescent="0.25">
      <c r="A29" t="s">
        <v>3</v>
      </c>
      <c r="B29" t="s">
        <v>41</v>
      </c>
      <c r="C29" s="9">
        <v>2013</v>
      </c>
      <c r="D29">
        <v>72.987438999999995</v>
      </c>
      <c r="E29">
        <v>920.639049</v>
      </c>
      <c r="F29">
        <v>48.753743</v>
      </c>
      <c r="G29">
        <v>1645.249104</v>
      </c>
      <c r="H29">
        <v>245.464696</v>
      </c>
      <c r="I29">
        <v>2473.3211099999999</v>
      </c>
      <c r="J29">
        <v>5406.4151410000004</v>
      </c>
    </row>
    <row r="30" spans="1:10" x14ac:dyDescent="0.25">
      <c r="A30" t="s">
        <v>3</v>
      </c>
      <c r="B30" t="s">
        <v>41</v>
      </c>
      <c r="C30" s="9">
        <v>2014</v>
      </c>
      <c r="D30">
        <v>72.052490000000006</v>
      </c>
      <c r="E30">
        <v>842.24309900000003</v>
      </c>
      <c r="F30">
        <v>48.721853000000003</v>
      </c>
      <c r="G30">
        <v>1665.318317</v>
      </c>
      <c r="H30">
        <v>260.43144599999999</v>
      </c>
      <c r="I30">
        <v>2010.3457209999999</v>
      </c>
      <c r="J30">
        <v>4899.1129259999998</v>
      </c>
    </row>
    <row r="31" spans="1:10" x14ac:dyDescent="0.25">
      <c r="A31" t="s">
        <v>3</v>
      </c>
      <c r="B31" t="s">
        <v>41</v>
      </c>
      <c r="C31" s="9">
        <v>2015</v>
      </c>
      <c r="D31">
        <v>73.562828999999994</v>
      </c>
      <c r="E31">
        <v>851.16122099999995</v>
      </c>
      <c r="F31">
        <v>49.542411999999999</v>
      </c>
      <c r="G31">
        <v>1617.569115</v>
      </c>
      <c r="H31">
        <v>242.41347999999999</v>
      </c>
      <c r="I31">
        <v>2037.9610029999999</v>
      </c>
      <c r="J31">
        <v>4872.2100600000003</v>
      </c>
    </row>
    <row r="32" spans="1:10" x14ac:dyDescent="0.25">
      <c r="A32" t="s">
        <v>3</v>
      </c>
      <c r="B32" t="s">
        <v>41</v>
      </c>
      <c r="C32" s="9">
        <v>2016</v>
      </c>
      <c r="D32">
        <v>77.039801999999995</v>
      </c>
      <c r="E32">
        <v>892.508331</v>
      </c>
      <c r="F32">
        <v>56.758217000000002</v>
      </c>
      <c r="G32">
        <v>1724.8531519999999</v>
      </c>
      <c r="H32">
        <v>236.79325299999999</v>
      </c>
      <c r="I32">
        <v>2136.193698</v>
      </c>
      <c r="J32">
        <v>5124.1464530000003</v>
      </c>
    </row>
    <row r="33" spans="1:10" x14ac:dyDescent="0.25">
      <c r="A33" t="s">
        <v>3</v>
      </c>
      <c r="B33" t="s">
        <v>41</v>
      </c>
      <c r="C33" s="9">
        <v>2017</v>
      </c>
      <c r="D33">
        <v>69.433349000000007</v>
      </c>
      <c r="E33">
        <v>895.86177399999997</v>
      </c>
      <c r="F33">
        <v>72.182936999999995</v>
      </c>
      <c r="G33">
        <v>1716.5670950000001</v>
      </c>
      <c r="H33">
        <v>229.745824</v>
      </c>
      <c r="I33">
        <v>2158.0529069999998</v>
      </c>
      <c r="J33">
        <v>5141.8438859999997</v>
      </c>
    </row>
    <row r="34" spans="1:10" x14ac:dyDescent="0.25">
      <c r="C34" s="9"/>
    </row>
    <row r="35" spans="1:10" x14ac:dyDescent="0.25">
      <c r="C35" s="9"/>
    </row>
    <row r="36" spans="1:10" x14ac:dyDescent="0.25">
      <c r="C36" s="9"/>
    </row>
    <row r="37" spans="1:10" x14ac:dyDescent="0.25">
      <c r="C37" s="9"/>
    </row>
    <row r="38" spans="1:10" x14ac:dyDescent="0.25">
      <c r="C38" s="9"/>
    </row>
    <row r="39" spans="1:10" x14ac:dyDescent="0.25">
      <c r="C39" s="9"/>
    </row>
    <row r="40" spans="1:10" x14ac:dyDescent="0.25">
      <c r="C40" s="9"/>
    </row>
    <row r="41" spans="1:10" x14ac:dyDescent="0.25">
      <c r="C41" s="9"/>
    </row>
    <row r="42" spans="1:10" x14ac:dyDescent="0.25">
      <c r="C42" s="9"/>
    </row>
    <row r="43" spans="1:10" x14ac:dyDescent="0.25">
      <c r="C43" s="9"/>
    </row>
    <row r="44" spans="1:10" x14ac:dyDescent="0.25">
      <c r="C44" s="9"/>
    </row>
    <row r="45" spans="1:10" x14ac:dyDescent="0.25">
      <c r="C45" s="9"/>
    </row>
    <row r="46" spans="1:10" x14ac:dyDescent="0.25">
      <c r="C46" s="9"/>
    </row>
    <row r="47" spans="1:10" x14ac:dyDescent="0.25">
      <c r="C47" s="9"/>
    </row>
    <row r="48" spans="1:10" x14ac:dyDescent="0.25">
      <c r="C48" s="9"/>
    </row>
    <row r="49" spans="3:3" x14ac:dyDescent="0.25">
      <c r="C49" s="9"/>
    </row>
    <row r="50" spans="3:3" x14ac:dyDescent="0.25">
      <c r="C50" s="9"/>
    </row>
    <row r="51" spans="3:3" x14ac:dyDescent="0.25">
      <c r="C51" s="9"/>
    </row>
    <row r="52" spans="3:3" x14ac:dyDescent="0.25">
      <c r="C52" s="9"/>
    </row>
    <row r="53" spans="3:3" x14ac:dyDescent="0.25">
      <c r="C53" s="9"/>
    </row>
    <row r="54" spans="3:3" x14ac:dyDescent="0.25">
      <c r="C54" s="9"/>
    </row>
    <row r="55" spans="3:3" x14ac:dyDescent="0.25">
      <c r="C55" s="9"/>
    </row>
    <row r="56" spans="3:3" x14ac:dyDescent="0.25">
      <c r="C56" s="9"/>
    </row>
    <row r="57" spans="3:3" x14ac:dyDescent="0.25">
      <c r="C57" s="9"/>
    </row>
    <row r="58" spans="3:3" x14ac:dyDescent="0.25">
      <c r="C58" s="9"/>
    </row>
    <row r="59" spans="3:3" x14ac:dyDescent="0.25">
      <c r="C59" s="9"/>
    </row>
    <row r="60" spans="3:3" x14ac:dyDescent="0.25">
      <c r="C60" s="9"/>
    </row>
    <row r="61" spans="3:3" x14ac:dyDescent="0.25">
      <c r="C61" s="9"/>
    </row>
    <row r="62" spans="3:3" x14ac:dyDescent="0.25">
      <c r="C62" s="9"/>
    </row>
    <row r="63" spans="3:3" x14ac:dyDescent="0.25">
      <c r="C63" s="9"/>
    </row>
    <row r="64" spans="3:3" x14ac:dyDescent="0.25">
      <c r="C64" s="9"/>
    </row>
    <row r="65" spans="3:3" x14ac:dyDescent="0.25">
      <c r="C65" s="9"/>
    </row>
    <row r="66" spans="3:3" x14ac:dyDescent="0.25">
      <c r="C66" s="9"/>
    </row>
    <row r="67" spans="3:3" x14ac:dyDescent="0.25">
      <c r="C67" s="9"/>
    </row>
    <row r="68" spans="3:3" x14ac:dyDescent="0.25">
      <c r="C68" s="9"/>
    </row>
    <row r="69" spans="3:3" x14ac:dyDescent="0.25">
      <c r="C69" s="9"/>
    </row>
    <row r="70" spans="3:3" x14ac:dyDescent="0.25">
      <c r="C70" s="9"/>
    </row>
    <row r="71" spans="3:3" x14ac:dyDescent="0.25">
      <c r="C71" s="9"/>
    </row>
    <row r="72" spans="3:3" x14ac:dyDescent="0.25">
      <c r="C72" s="9"/>
    </row>
    <row r="73" spans="3:3" x14ac:dyDescent="0.25">
      <c r="C73" s="9"/>
    </row>
    <row r="74" spans="3:3" x14ac:dyDescent="0.25">
      <c r="C74" s="9"/>
    </row>
    <row r="75" spans="3:3" x14ac:dyDescent="0.25">
      <c r="C75" s="9"/>
    </row>
    <row r="76" spans="3:3" x14ac:dyDescent="0.25">
      <c r="C76" s="9"/>
    </row>
    <row r="77" spans="3:3" x14ac:dyDescent="0.25">
      <c r="C77" s="9"/>
    </row>
    <row r="78" spans="3:3" x14ac:dyDescent="0.25">
      <c r="C78" s="9"/>
    </row>
    <row r="79" spans="3:3" x14ac:dyDescent="0.25">
      <c r="C79" s="9"/>
    </row>
    <row r="80" spans="3:3" x14ac:dyDescent="0.25">
      <c r="C80" s="9"/>
    </row>
    <row r="81" spans="3:3" x14ac:dyDescent="0.25">
      <c r="C81" s="9"/>
    </row>
    <row r="82" spans="3:3" x14ac:dyDescent="0.25">
      <c r="C82" s="9"/>
    </row>
    <row r="83" spans="3:3" x14ac:dyDescent="0.25">
      <c r="C83" s="9"/>
    </row>
    <row r="84" spans="3:3" x14ac:dyDescent="0.25">
      <c r="C84" s="9"/>
    </row>
    <row r="85" spans="3:3" x14ac:dyDescent="0.25">
      <c r="C85" s="9"/>
    </row>
    <row r="86" spans="3:3" x14ac:dyDescent="0.25">
      <c r="C86" s="9"/>
    </row>
    <row r="87" spans="3:3" x14ac:dyDescent="0.25">
      <c r="C87" s="9"/>
    </row>
    <row r="88" spans="3:3" x14ac:dyDescent="0.25">
      <c r="C88" s="9"/>
    </row>
    <row r="89" spans="3:3" x14ac:dyDescent="0.25">
      <c r="C89" s="9"/>
    </row>
    <row r="90" spans="3:3" x14ac:dyDescent="0.25">
      <c r="C90" s="9"/>
    </row>
    <row r="91" spans="3:3" x14ac:dyDescent="0.25">
      <c r="C91" s="9"/>
    </row>
    <row r="92" spans="3:3" x14ac:dyDescent="0.25">
      <c r="C92" s="9"/>
    </row>
    <row r="93" spans="3:3" x14ac:dyDescent="0.25">
      <c r="C93" s="9"/>
    </row>
    <row r="94" spans="3:3" x14ac:dyDescent="0.25">
      <c r="C94" s="9"/>
    </row>
    <row r="95" spans="3:3" x14ac:dyDescent="0.25">
      <c r="C95" s="9"/>
    </row>
    <row r="96" spans="3:3" x14ac:dyDescent="0.25">
      <c r="C96" s="9"/>
    </row>
    <row r="97" spans="3:3" x14ac:dyDescent="0.25">
      <c r="C97" s="9"/>
    </row>
    <row r="98" spans="3:3" x14ac:dyDescent="0.25">
      <c r="C98" s="9"/>
    </row>
    <row r="99" spans="3:3" x14ac:dyDescent="0.25">
      <c r="C99" s="9"/>
    </row>
    <row r="100" spans="3:3" x14ac:dyDescent="0.25">
      <c r="C100" s="9"/>
    </row>
    <row r="101" spans="3:3" x14ac:dyDescent="0.25">
      <c r="C101" s="9"/>
    </row>
    <row r="102" spans="3:3" x14ac:dyDescent="0.25">
      <c r="C102" s="9"/>
    </row>
    <row r="103" spans="3:3" x14ac:dyDescent="0.25">
      <c r="C103" s="9"/>
    </row>
    <row r="104" spans="3:3" x14ac:dyDescent="0.25">
      <c r="C104" s="9"/>
    </row>
    <row r="105" spans="3:3" x14ac:dyDescent="0.25">
      <c r="C105" s="9"/>
    </row>
    <row r="106" spans="3:3" x14ac:dyDescent="0.25">
      <c r="C106" s="9"/>
    </row>
    <row r="107" spans="3:3" x14ac:dyDescent="0.25">
      <c r="C107" s="9"/>
    </row>
    <row r="108" spans="3:3" x14ac:dyDescent="0.25">
      <c r="C108" s="9"/>
    </row>
    <row r="109" spans="3:3" x14ac:dyDescent="0.25">
      <c r="C109" s="9"/>
    </row>
    <row r="110" spans="3:3" x14ac:dyDescent="0.25">
      <c r="C110" s="9"/>
    </row>
    <row r="111" spans="3:3" x14ac:dyDescent="0.25">
      <c r="C111" s="9"/>
    </row>
    <row r="112" spans="3:3" x14ac:dyDescent="0.25">
      <c r="C112" s="9"/>
    </row>
    <row r="113" spans="3:3" x14ac:dyDescent="0.25">
      <c r="C113" s="9"/>
    </row>
    <row r="114" spans="3:3" x14ac:dyDescent="0.25">
      <c r="C114" s="9"/>
    </row>
    <row r="115" spans="3:3" x14ac:dyDescent="0.25">
      <c r="C115" s="9"/>
    </row>
    <row r="116" spans="3:3" x14ac:dyDescent="0.25">
      <c r="C116" s="9"/>
    </row>
    <row r="117" spans="3:3" x14ac:dyDescent="0.25">
      <c r="C117" s="9"/>
    </row>
    <row r="118" spans="3:3" x14ac:dyDescent="0.25">
      <c r="C118" s="9"/>
    </row>
    <row r="119" spans="3:3" x14ac:dyDescent="0.25">
      <c r="C119" s="9"/>
    </row>
    <row r="120" spans="3:3" x14ac:dyDescent="0.25">
      <c r="C120" s="9"/>
    </row>
    <row r="121" spans="3:3" x14ac:dyDescent="0.25">
      <c r="C121" s="9"/>
    </row>
    <row r="122" spans="3:3" x14ac:dyDescent="0.25">
      <c r="C122" s="9"/>
    </row>
    <row r="123" spans="3:3" x14ac:dyDescent="0.25">
      <c r="C123" s="9"/>
    </row>
    <row r="124" spans="3:3" x14ac:dyDescent="0.25">
      <c r="C124" s="9"/>
    </row>
    <row r="125" spans="3:3" x14ac:dyDescent="0.25">
      <c r="C125" s="9"/>
    </row>
    <row r="126" spans="3:3" x14ac:dyDescent="0.25">
      <c r="C126" s="9"/>
    </row>
    <row r="127" spans="3:3" x14ac:dyDescent="0.25">
      <c r="C127" s="9"/>
    </row>
    <row r="128" spans="3:3" x14ac:dyDescent="0.25">
      <c r="C128" s="9"/>
    </row>
    <row r="129" spans="3:3" x14ac:dyDescent="0.25">
      <c r="C129" s="9"/>
    </row>
    <row r="130" spans="3:3" x14ac:dyDescent="0.25">
      <c r="C130" s="9"/>
    </row>
    <row r="131" spans="3:3" x14ac:dyDescent="0.25">
      <c r="C131" s="9"/>
    </row>
    <row r="132" spans="3:3" x14ac:dyDescent="0.25">
      <c r="C132" s="9"/>
    </row>
    <row r="133" spans="3:3" x14ac:dyDescent="0.25">
      <c r="C133" s="9"/>
    </row>
    <row r="134" spans="3:3" x14ac:dyDescent="0.25">
      <c r="C134" s="9"/>
    </row>
    <row r="135" spans="3:3" x14ac:dyDescent="0.25">
      <c r="C135" s="9"/>
    </row>
    <row r="136" spans="3:3" x14ac:dyDescent="0.25">
      <c r="C136" s="9"/>
    </row>
    <row r="137" spans="3:3" x14ac:dyDescent="0.25">
      <c r="C137" s="9"/>
    </row>
    <row r="138" spans="3:3" x14ac:dyDescent="0.25">
      <c r="C138" s="9"/>
    </row>
    <row r="139" spans="3:3" x14ac:dyDescent="0.25">
      <c r="C139" s="9"/>
    </row>
    <row r="140" spans="3:3" x14ac:dyDescent="0.25">
      <c r="C140" s="9"/>
    </row>
    <row r="141" spans="3:3" x14ac:dyDescent="0.25">
      <c r="C141" s="9"/>
    </row>
    <row r="142" spans="3:3" x14ac:dyDescent="0.25">
      <c r="C142" s="9"/>
    </row>
    <row r="143" spans="3:3" x14ac:dyDescent="0.25">
      <c r="C143" s="9"/>
    </row>
    <row r="144" spans="3:3" x14ac:dyDescent="0.25">
      <c r="C144" s="9"/>
    </row>
    <row r="145" spans="3:3" x14ac:dyDescent="0.25">
      <c r="C145" s="9"/>
    </row>
    <row r="146" spans="3:3" x14ac:dyDescent="0.25">
      <c r="C146" s="9"/>
    </row>
    <row r="147" spans="3:3" x14ac:dyDescent="0.25">
      <c r="C147" s="9"/>
    </row>
    <row r="148" spans="3:3" x14ac:dyDescent="0.25">
      <c r="C148" s="9"/>
    </row>
    <row r="149" spans="3:3" x14ac:dyDescent="0.25">
      <c r="C149" s="9"/>
    </row>
    <row r="150" spans="3:3" x14ac:dyDescent="0.25">
      <c r="C150" s="9"/>
    </row>
    <row r="151" spans="3:3" x14ac:dyDescent="0.25">
      <c r="C151" s="9"/>
    </row>
    <row r="152" spans="3:3" x14ac:dyDescent="0.25">
      <c r="C152" s="9"/>
    </row>
    <row r="153" spans="3:3" x14ac:dyDescent="0.25">
      <c r="C153" s="9"/>
    </row>
    <row r="154" spans="3:3" x14ac:dyDescent="0.25">
      <c r="C154" s="9"/>
    </row>
    <row r="155" spans="3:3" x14ac:dyDescent="0.25">
      <c r="C155" s="9"/>
    </row>
    <row r="156" spans="3:3" x14ac:dyDescent="0.25">
      <c r="C156" s="9"/>
    </row>
    <row r="157" spans="3:3" x14ac:dyDescent="0.25">
      <c r="C157" s="9"/>
    </row>
    <row r="158" spans="3:3" x14ac:dyDescent="0.25">
      <c r="C158" s="9"/>
    </row>
    <row r="159" spans="3:3" x14ac:dyDescent="0.25">
      <c r="C159" s="9"/>
    </row>
    <row r="160" spans="3:3" x14ac:dyDescent="0.25">
      <c r="C160" s="9"/>
    </row>
    <row r="161" spans="3:3" x14ac:dyDescent="0.25">
      <c r="C161" s="9"/>
    </row>
    <row r="162" spans="3:3" x14ac:dyDescent="0.25">
      <c r="C162" s="9"/>
    </row>
    <row r="163" spans="3:3" x14ac:dyDescent="0.25">
      <c r="C163" s="9"/>
    </row>
    <row r="164" spans="3:3" x14ac:dyDescent="0.25">
      <c r="C164" s="9"/>
    </row>
    <row r="165" spans="3:3" x14ac:dyDescent="0.25">
      <c r="C165" s="9"/>
    </row>
    <row r="166" spans="3:3" x14ac:dyDescent="0.25">
      <c r="C166" s="9"/>
    </row>
    <row r="167" spans="3:3" x14ac:dyDescent="0.25">
      <c r="C167" s="9"/>
    </row>
    <row r="168" spans="3:3" x14ac:dyDescent="0.25">
      <c r="C168" s="9"/>
    </row>
    <row r="169" spans="3:3" x14ac:dyDescent="0.25">
      <c r="C169" s="9"/>
    </row>
    <row r="170" spans="3:3" x14ac:dyDescent="0.25">
      <c r="C170" s="9"/>
    </row>
    <row r="171" spans="3:3" x14ac:dyDescent="0.25">
      <c r="C171" s="9"/>
    </row>
    <row r="172" spans="3:3" x14ac:dyDescent="0.25">
      <c r="C172" s="9"/>
    </row>
    <row r="173" spans="3:3" x14ac:dyDescent="0.25">
      <c r="C173" s="9"/>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CreateComboChart.CreateComboChart">
                <anchor moveWithCells="1" sizeWithCells="1">
                  <from>
                    <xdr:col>1</xdr:col>
                    <xdr:colOff>1905000</xdr:colOff>
                    <xdr:row>0</xdr:row>
                    <xdr:rowOff>47625</xdr:rowOff>
                  </from>
                  <to>
                    <xdr:col>3</xdr:col>
                    <xdr:colOff>609600</xdr:colOff>
                    <xdr:row>3</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7050F-2384-4023-A793-DBCB5E9D817B}">
  <sheetPr codeName="Sheet10"/>
  <dimension ref="A1:Y29"/>
  <sheetViews>
    <sheetView workbookViewId="0">
      <selection activeCell="E19" sqref="E19"/>
    </sheetView>
  </sheetViews>
  <sheetFormatPr defaultRowHeight="15" x14ac:dyDescent="0.25"/>
  <cols>
    <col min="1" max="1" width="20.85546875" bestFit="1" customWidth="1"/>
    <col min="2" max="2" width="22.85546875" customWidth="1"/>
    <col min="3" max="3" width="14" customWidth="1"/>
    <col min="4" max="4" width="23.7109375" customWidth="1"/>
    <col min="5" max="5" width="19.5703125" bestFit="1" customWidth="1"/>
    <col min="6" max="6" width="17.42578125" bestFit="1" customWidth="1"/>
    <col min="7" max="7" width="16.140625" bestFit="1" customWidth="1"/>
    <col min="19" max="19" width="22.42578125" customWidth="1"/>
  </cols>
  <sheetData>
    <row r="1" spans="1:25" ht="60" x14ac:dyDescent="0.25">
      <c r="A1" s="8" t="s">
        <v>0</v>
      </c>
      <c r="B1" s="8" t="s">
        <v>6</v>
      </c>
      <c r="C1" s="43" t="s">
        <v>172</v>
      </c>
      <c r="D1" s="43" t="s">
        <v>173</v>
      </c>
      <c r="E1" s="8"/>
      <c r="F1" s="8"/>
      <c r="G1" s="8"/>
      <c r="T1" s="10"/>
      <c r="U1" s="10"/>
      <c r="V1" s="10"/>
      <c r="W1" s="10"/>
      <c r="X1" s="10"/>
      <c r="Y1" s="10"/>
    </row>
    <row r="2" spans="1:25" ht="30" x14ac:dyDescent="0.25">
      <c r="A2" t="s">
        <v>3</v>
      </c>
      <c r="B2" s="47" t="s">
        <v>41</v>
      </c>
      <c r="C2">
        <v>5141.8438859999997</v>
      </c>
      <c r="D2" s="44">
        <f>C2*therm_cost*1000000</f>
        <v>3406985758.8635998</v>
      </c>
      <c r="T2" s="10"/>
      <c r="U2" s="10"/>
      <c r="V2" s="10"/>
      <c r="W2" s="10"/>
      <c r="X2" s="10"/>
      <c r="Y2" s="10"/>
    </row>
    <row r="3" spans="1:25" ht="15.75" thickBot="1" x14ac:dyDescent="0.3">
      <c r="T3" s="10"/>
      <c r="U3" s="10"/>
      <c r="V3" s="10"/>
      <c r="W3" s="10"/>
      <c r="X3" s="10"/>
      <c r="Y3" s="10"/>
    </row>
    <row r="4" spans="1:25" x14ac:dyDescent="0.25">
      <c r="A4" s="296" t="s">
        <v>168</v>
      </c>
      <c r="B4" s="297"/>
      <c r="C4" s="243"/>
      <c r="D4" s="243"/>
      <c r="E4" s="243"/>
      <c r="F4" s="243"/>
      <c r="G4" s="244"/>
      <c r="T4" s="10"/>
      <c r="U4" s="10"/>
      <c r="V4" s="10"/>
      <c r="W4" s="10"/>
      <c r="X4" s="10"/>
      <c r="Y4" s="10"/>
    </row>
    <row r="5" spans="1:25" ht="15.75" thickBot="1" x14ac:dyDescent="0.3">
      <c r="A5" s="298"/>
      <c r="B5" s="299"/>
      <c r="C5" s="245"/>
      <c r="D5" s="245"/>
      <c r="E5" s="245"/>
      <c r="F5" s="245"/>
      <c r="G5" s="246"/>
      <c r="T5" s="10"/>
      <c r="U5" s="10"/>
      <c r="V5" s="10"/>
      <c r="W5" s="10"/>
      <c r="X5" s="10"/>
      <c r="Y5" s="10"/>
    </row>
    <row r="6" spans="1:25" ht="39" customHeight="1" x14ac:dyDescent="0.4">
      <c r="A6" s="247"/>
      <c r="B6" s="248" t="s">
        <v>138</v>
      </c>
      <c r="C6" s="249" t="s">
        <v>147</v>
      </c>
      <c r="D6" s="249" t="s">
        <v>146</v>
      </c>
      <c r="E6" s="249" t="s">
        <v>148</v>
      </c>
      <c r="F6" s="249" t="s">
        <v>165</v>
      </c>
      <c r="G6" s="250" t="s">
        <v>166</v>
      </c>
      <c r="I6" s="48" t="s">
        <v>153</v>
      </c>
      <c r="J6" s="36"/>
      <c r="K6" s="36"/>
      <c r="L6" s="36"/>
      <c r="M6" s="36"/>
      <c r="N6" s="36"/>
      <c r="O6" s="36"/>
      <c r="P6" s="36"/>
      <c r="Q6" s="42"/>
      <c r="T6" s="10"/>
      <c r="U6" s="10"/>
      <c r="V6" s="10"/>
      <c r="W6" s="10"/>
      <c r="X6" s="10"/>
      <c r="Y6" s="10"/>
    </row>
    <row r="7" spans="1:25" x14ac:dyDescent="0.25">
      <c r="A7" s="241" t="s">
        <v>133</v>
      </c>
      <c r="B7" s="63">
        <f>762*2</f>
        <v>1524</v>
      </c>
      <c r="C7" s="64">
        <v>2.14</v>
      </c>
      <c r="D7" s="64">
        <v>0.5</v>
      </c>
      <c r="E7" s="65">
        <v>10</v>
      </c>
      <c r="F7" s="66">
        <f>B7*C7*E7*0.365</f>
        <v>11903.964</v>
      </c>
      <c r="G7" s="70">
        <f>B7*D7*E7*0.365</f>
        <v>2781.2999999999997</v>
      </c>
      <c r="I7" s="30"/>
      <c r="J7" s="31"/>
      <c r="K7" s="31"/>
      <c r="L7" s="31"/>
      <c r="M7" s="31"/>
      <c r="N7" s="31"/>
      <c r="O7" s="31"/>
      <c r="P7" s="31"/>
      <c r="Q7" s="32"/>
      <c r="T7" s="10"/>
      <c r="U7" s="10"/>
      <c r="V7" s="10"/>
      <c r="W7" s="10"/>
      <c r="X7" s="10"/>
      <c r="Y7" s="10"/>
    </row>
    <row r="8" spans="1:25" x14ac:dyDescent="0.25">
      <c r="A8" s="241" t="s">
        <v>134</v>
      </c>
      <c r="B8" s="63">
        <f>2*109</f>
        <v>218</v>
      </c>
      <c r="C8" s="64">
        <v>3</v>
      </c>
      <c r="D8" s="64">
        <v>1.5</v>
      </c>
      <c r="E8" s="65">
        <v>20</v>
      </c>
      <c r="F8" s="66">
        <f t="shared" ref="F8:F10" si="0">B8*C8*E8*0.365</f>
        <v>4774.2</v>
      </c>
      <c r="G8" s="70">
        <f t="shared" ref="G8:G10" si="1">B8*D8*E8*0.365</f>
        <v>2387.1</v>
      </c>
      <c r="I8" s="30"/>
      <c r="J8" s="31"/>
      <c r="K8" s="31"/>
      <c r="L8" s="31"/>
      <c r="M8" s="31"/>
      <c r="N8" s="31"/>
      <c r="O8" s="31"/>
      <c r="P8" s="31"/>
      <c r="Q8" s="32"/>
      <c r="T8" s="10"/>
      <c r="U8" s="10"/>
      <c r="V8" s="10"/>
      <c r="W8" s="10"/>
      <c r="X8" s="10"/>
      <c r="Y8" s="10"/>
    </row>
    <row r="9" spans="1:25" x14ac:dyDescent="0.25">
      <c r="A9" s="241" t="s">
        <v>135</v>
      </c>
      <c r="B9" s="63">
        <f>382*2</f>
        <v>764</v>
      </c>
      <c r="C9" s="64">
        <v>3.5</v>
      </c>
      <c r="D9" s="64">
        <v>1.6</v>
      </c>
      <c r="E9" s="65">
        <v>15</v>
      </c>
      <c r="F9" s="66">
        <f t="shared" si="0"/>
        <v>14640.15</v>
      </c>
      <c r="G9" s="70">
        <f t="shared" si="1"/>
        <v>6692.6399999999994</v>
      </c>
      <c r="I9" s="30"/>
      <c r="J9" s="31"/>
      <c r="K9" s="31"/>
      <c r="L9" s="31"/>
      <c r="M9" s="31"/>
      <c r="N9" s="31"/>
      <c r="O9" s="31"/>
      <c r="P9" s="31"/>
      <c r="Q9" s="32"/>
      <c r="T9" s="10"/>
      <c r="U9" s="10"/>
      <c r="V9" s="10"/>
      <c r="W9" s="10"/>
      <c r="X9" s="10"/>
      <c r="Y9" s="10"/>
    </row>
    <row r="10" spans="1:25" ht="15.75" thickBot="1" x14ac:dyDescent="0.3">
      <c r="A10" s="241" t="s">
        <v>136</v>
      </c>
      <c r="B10" s="291">
        <f>14*2</f>
        <v>28</v>
      </c>
      <c r="C10" s="64">
        <v>1.6</v>
      </c>
      <c r="D10" s="64">
        <v>0.5</v>
      </c>
      <c r="E10" s="65">
        <v>15</v>
      </c>
      <c r="F10" s="66">
        <f t="shared" si="0"/>
        <v>245.28000000000003</v>
      </c>
      <c r="G10" s="70">
        <f t="shared" si="1"/>
        <v>76.649999999999991</v>
      </c>
      <c r="I10" s="33"/>
      <c r="J10" s="34"/>
      <c r="K10" s="34"/>
      <c r="L10" s="34"/>
      <c r="M10" s="34"/>
      <c r="N10" s="34"/>
      <c r="O10" s="34"/>
      <c r="P10" s="34"/>
      <c r="Q10" s="35"/>
      <c r="T10" s="10"/>
      <c r="U10" s="10"/>
      <c r="V10" s="10"/>
      <c r="W10" s="10"/>
      <c r="X10" s="10"/>
      <c r="Y10" s="10"/>
    </row>
    <row r="11" spans="1:25" ht="15.75" thickBot="1" x14ac:dyDescent="0.3">
      <c r="A11" s="242" t="s">
        <v>137</v>
      </c>
      <c r="B11" s="71">
        <f>SUM(B7:B10)</f>
        <v>2534</v>
      </c>
      <c r="C11" s="71"/>
      <c r="D11" s="71"/>
      <c r="E11" s="71"/>
      <c r="F11" s="72">
        <f t="shared" ref="F11:G11" si="2">SUM(F7:F10)</f>
        <v>31563.593999999997</v>
      </c>
      <c r="G11" s="73">
        <f t="shared" si="2"/>
        <v>11937.689999999999</v>
      </c>
      <c r="I11" s="10"/>
      <c r="J11" s="21"/>
      <c r="K11" s="21"/>
      <c r="L11" s="21"/>
      <c r="M11" s="21"/>
      <c r="N11" s="21"/>
      <c r="O11" s="21"/>
      <c r="P11" s="21"/>
      <c r="Q11" s="21"/>
      <c r="R11" s="21"/>
      <c r="S11" s="21"/>
      <c r="T11" s="10"/>
      <c r="U11" s="10"/>
      <c r="V11" s="10"/>
      <c r="W11" s="10"/>
      <c r="X11" s="10"/>
      <c r="Y11" s="10"/>
    </row>
    <row r="12" spans="1:25" ht="15" customHeight="1" thickBot="1" x14ac:dyDescent="0.3">
      <c r="I12" s="304" t="s">
        <v>140</v>
      </c>
      <c r="J12" s="305"/>
      <c r="K12" s="305"/>
      <c r="L12" s="305"/>
      <c r="M12" s="305"/>
      <c r="N12" s="305"/>
      <c r="O12" s="36"/>
      <c r="P12" s="36"/>
      <c r="Q12" s="36"/>
      <c r="R12" s="36"/>
      <c r="S12" s="36"/>
      <c r="T12" s="36"/>
      <c r="U12" s="36"/>
      <c r="V12" s="36"/>
      <c r="W12" s="36"/>
      <c r="X12" s="42"/>
      <c r="Y12" s="10"/>
    </row>
    <row r="13" spans="1:25" x14ac:dyDescent="0.25">
      <c r="A13" s="300" t="s">
        <v>169</v>
      </c>
      <c r="B13" s="301"/>
      <c r="C13" s="243"/>
      <c r="D13" s="243"/>
      <c r="E13" s="244"/>
      <c r="I13" s="306"/>
      <c r="J13" s="307"/>
      <c r="K13" s="307"/>
      <c r="L13" s="307"/>
      <c r="M13" s="307"/>
      <c r="N13" s="307"/>
      <c r="O13" s="31"/>
      <c r="P13" s="31"/>
      <c r="Q13" s="31"/>
      <c r="R13" s="31"/>
      <c r="S13" s="31"/>
      <c r="T13" s="31"/>
      <c r="U13" s="31"/>
      <c r="V13" s="31"/>
      <c r="W13" s="31"/>
      <c r="X13" s="32"/>
      <c r="Y13" s="10"/>
    </row>
    <row r="14" spans="1:25" x14ac:dyDescent="0.25">
      <c r="A14" s="302"/>
      <c r="B14" s="303"/>
      <c r="C14" s="245"/>
      <c r="D14" s="245"/>
      <c r="E14" s="246"/>
      <c r="I14" s="30" t="s">
        <v>141</v>
      </c>
      <c r="J14" s="31"/>
      <c r="K14" s="31"/>
      <c r="L14" s="31"/>
      <c r="M14" s="31"/>
      <c r="N14" s="31"/>
      <c r="O14" s="31"/>
      <c r="P14" s="31"/>
      <c r="Q14" s="31"/>
      <c r="R14" s="31"/>
      <c r="S14" s="31"/>
      <c r="T14" s="31"/>
      <c r="U14" s="31"/>
      <c r="V14" s="31"/>
      <c r="W14" s="31"/>
      <c r="X14" s="32"/>
      <c r="Y14" s="10"/>
    </row>
    <row r="15" spans="1:25" ht="45" x14ac:dyDescent="0.25">
      <c r="A15" s="251"/>
      <c r="B15" s="249" t="s">
        <v>167</v>
      </c>
      <c r="C15" s="249" t="s">
        <v>151</v>
      </c>
      <c r="D15" s="249" t="s">
        <v>149</v>
      </c>
      <c r="E15" s="250" t="s">
        <v>150</v>
      </c>
      <c r="I15" s="30" t="s">
        <v>139</v>
      </c>
      <c r="J15" s="31"/>
      <c r="K15" s="31"/>
      <c r="L15" s="31"/>
      <c r="M15" s="31"/>
      <c r="N15" s="31"/>
      <c r="O15" s="31"/>
      <c r="P15" s="31"/>
      <c r="Q15" s="31"/>
      <c r="R15" s="31"/>
      <c r="S15" s="31"/>
      <c r="T15" s="31"/>
      <c r="U15" s="31"/>
      <c r="V15" s="31"/>
      <c r="W15" s="31"/>
      <c r="X15" s="32"/>
      <c r="Y15" s="10"/>
    </row>
    <row r="16" spans="1:25" x14ac:dyDescent="0.25">
      <c r="A16" s="241" t="s">
        <v>133</v>
      </c>
      <c r="B16" s="67">
        <f>F7-G7</f>
        <v>9122.6640000000007</v>
      </c>
      <c r="C16" s="68">
        <f>B16*therm_factor</f>
        <v>44703.437656192</v>
      </c>
      <c r="D16" s="69">
        <f>B16*water_sewer_rate</f>
        <v>68907.822994652408</v>
      </c>
      <c r="E16" s="74">
        <f>C16*therm_cost</f>
        <v>29620.497790992817</v>
      </c>
      <c r="I16" s="308" t="s">
        <v>142</v>
      </c>
      <c r="J16" s="309"/>
      <c r="K16" s="312" t="s">
        <v>143</v>
      </c>
      <c r="L16" s="309"/>
      <c r="M16" s="312" t="s">
        <v>144</v>
      </c>
      <c r="N16" s="309"/>
      <c r="O16" s="312" t="s">
        <v>140</v>
      </c>
      <c r="P16" s="309"/>
      <c r="Q16" s="294" t="s">
        <v>152</v>
      </c>
      <c r="R16" s="31"/>
      <c r="S16" s="31"/>
      <c r="T16" s="57"/>
      <c r="U16" s="31"/>
      <c r="V16" s="31"/>
      <c r="W16" s="31"/>
      <c r="X16" s="32"/>
      <c r="Y16" s="10"/>
    </row>
    <row r="17" spans="1:25" x14ac:dyDescent="0.25">
      <c r="A17" s="241" t="s">
        <v>134</v>
      </c>
      <c r="B17" s="67">
        <f>F8-G8</f>
        <v>2387.1</v>
      </c>
      <c r="C17" s="68">
        <f>B17*therm_factor</f>
        <v>11697.413828799998</v>
      </c>
      <c r="D17" s="69">
        <f>B17*water_sewer_rate</f>
        <v>18030.90240641711</v>
      </c>
      <c r="E17" s="74">
        <f>C17*therm_cost</f>
        <v>7750.7064029628782</v>
      </c>
      <c r="I17" s="310"/>
      <c r="J17" s="311"/>
      <c r="K17" s="313"/>
      <c r="L17" s="311"/>
      <c r="M17" s="313"/>
      <c r="N17" s="311"/>
      <c r="O17" s="313"/>
      <c r="P17" s="311"/>
      <c r="Q17" s="295"/>
      <c r="R17" s="31"/>
      <c r="S17" s="31"/>
      <c r="T17" s="57"/>
      <c r="U17" s="31"/>
      <c r="V17" s="31"/>
      <c r="W17" s="31"/>
      <c r="X17" s="32"/>
      <c r="Y17" s="10"/>
    </row>
    <row r="18" spans="1:25" x14ac:dyDescent="0.25">
      <c r="A18" s="241" t="s">
        <v>135</v>
      </c>
      <c r="B18" s="67">
        <f>F9-G9</f>
        <v>7947.51</v>
      </c>
      <c r="C18" s="68">
        <f>B18*therm_factor</f>
        <v>38944.875949279995</v>
      </c>
      <c r="D18" s="69">
        <f>B18*water_sewer_rate</f>
        <v>60031.325534759351</v>
      </c>
      <c r="E18" s="74">
        <f>C18*therm_cost</f>
        <v>25804.874803992923</v>
      </c>
      <c r="I18" s="37">
        <v>60.88</v>
      </c>
      <c r="J18" s="38"/>
      <c r="K18" s="39">
        <v>0.75</v>
      </c>
      <c r="L18" s="38"/>
      <c r="M18" s="40">
        <v>105</v>
      </c>
      <c r="N18" s="38"/>
      <c r="O18" s="41">
        <f xml:space="preserve"> 8.33 * ((M18-I18)/100) / K18</f>
        <v>4.9002613333333329</v>
      </c>
      <c r="P18" s="38"/>
      <c r="Q18" s="46">
        <v>0.66259999999999997</v>
      </c>
      <c r="R18" s="31"/>
      <c r="S18" s="31"/>
      <c r="T18" s="57"/>
      <c r="U18" s="31"/>
      <c r="V18" s="31"/>
      <c r="W18" s="31"/>
      <c r="X18" s="32"/>
      <c r="Y18" s="10"/>
    </row>
    <row r="19" spans="1:25" x14ac:dyDescent="0.25">
      <c r="A19" s="241" t="s">
        <v>136</v>
      </c>
      <c r="B19" s="67">
        <f>F10-G10</f>
        <v>168.63000000000005</v>
      </c>
      <c r="C19" s="68">
        <f>B19*therm_factor</f>
        <v>826.33106864000024</v>
      </c>
      <c r="D19" s="69">
        <f>B19*water_sewer_rate</f>
        <v>1273.7426470588239</v>
      </c>
      <c r="E19" s="74">
        <f>C19*therm_cost</f>
        <v>547.5269660808641</v>
      </c>
      <c r="I19" s="30" t="s">
        <v>145</v>
      </c>
      <c r="J19" s="31"/>
      <c r="K19" s="31"/>
      <c r="L19" s="31"/>
      <c r="M19" s="31"/>
      <c r="N19" s="31"/>
      <c r="O19" s="31"/>
      <c r="P19" s="31"/>
      <c r="Q19" s="31"/>
      <c r="R19" s="31"/>
      <c r="S19" s="31"/>
      <c r="T19" s="31"/>
      <c r="U19" s="31"/>
      <c r="V19" s="31"/>
      <c r="W19" s="31"/>
      <c r="X19" s="32"/>
      <c r="Y19" s="10"/>
    </row>
    <row r="20" spans="1:25" ht="15.75" thickBot="1" x14ac:dyDescent="0.3">
      <c r="A20" s="242" t="s">
        <v>137</v>
      </c>
      <c r="B20" s="75">
        <f>SUM(B16:B19)</f>
        <v>19625.904000000002</v>
      </c>
      <c r="C20" s="75">
        <f>SUM(C16:C19)</f>
        <v>96172.058502911997</v>
      </c>
      <c r="D20" s="76">
        <f>SUM(D16:D19)</f>
        <v>148243.79358288771</v>
      </c>
      <c r="E20" s="77">
        <f>SUM(E16:E19)</f>
        <v>63723.605964029477</v>
      </c>
      <c r="I20" s="30"/>
      <c r="J20" s="31"/>
      <c r="K20" s="31"/>
      <c r="L20" s="31"/>
      <c r="M20" s="31"/>
      <c r="N20" s="31"/>
      <c r="O20" s="31"/>
      <c r="P20" s="31"/>
      <c r="Q20" s="31"/>
      <c r="R20" s="31"/>
      <c r="S20" s="31"/>
      <c r="T20" s="31"/>
      <c r="U20" s="31"/>
      <c r="V20" s="31"/>
      <c r="W20" s="31"/>
      <c r="X20" s="32"/>
      <c r="Y20" s="10"/>
    </row>
    <row r="21" spans="1:25" x14ac:dyDescent="0.25">
      <c r="I21" s="30"/>
      <c r="J21" s="31"/>
      <c r="K21" s="31"/>
      <c r="L21" s="31"/>
      <c r="M21" s="31"/>
      <c r="N21" s="31"/>
      <c r="O21" s="31"/>
      <c r="P21" s="31"/>
      <c r="Q21" s="31"/>
      <c r="R21" s="31"/>
      <c r="S21" s="31"/>
      <c r="T21" s="31"/>
      <c r="U21" s="31"/>
      <c r="V21" s="31"/>
      <c r="W21" s="31"/>
      <c r="X21" s="32"/>
      <c r="Y21" s="10"/>
    </row>
    <row r="22" spans="1:25" x14ac:dyDescent="0.25">
      <c r="I22" s="30"/>
      <c r="J22" s="31"/>
      <c r="K22" s="31"/>
      <c r="L22" s="31"/>
      <c r="M22" s="31"/>
      <c r="N22" s="31"/>
      <c r="O22" s="31"/>
      <c r="P22" s="31"/>
      <c r="Q22" s="31"/>
      <c r="R22" s="31"/>
      <c r="S22" s="31"/>
      <c r="T22" s="31"/>
      <c r="U22" s="31"/>
      <c r="V22" s="31"/>
      <c r="W22" s="31"/>
      <c r="X22" s="32"/>
      <c r="Y22" s="10"/>
    </row>
    <row r="23" spans="1:25" x14ac:dyDescent="0.25">
      <c r="I23" s="30"/>
      <c r="J23" s="31"/>
      <c r="K23" s="31"/>
      <c r="L23" s="31"/>
      <c r="M23" s="31"/>
      <c r="N23" s="31"/>
      <c r="O23" s="31"/>
      <c r="P23" s="31"/>
      <c r="Q23" s="31"/>
      <c r="R23" s="31"/>
      <c r="S23" s="31"/>
      <c r="T23" s="31"/>
      <c r="U23" s="31"/>
      <c r="V23" s="31"/>
      <c r="W23" s="31"/>
      <c r="X23" s="32"/>
      <c r="Y23" s="10"/>
    </row>
    <row r="24" spans="1:25" x14ac:dyDescent="0.25">
      <c r="I24" s="30"/>
      <c r="J24" s="31"/>
      <c r="K24" s="31"/>
      <c r="L24" s="31"/>
      <c r="M24" s="31"/>
      <c r="N24" s="31"/>
      <c r="O24" s="31"/>
      <c r="P24" s="31"/>
      <c r="Q24" s="31"/>
      <c r="R24" s="31"/>
      <c r="S24" s="31"/>
      <c r="T24" s="31"/>
      <c r="U24" s="31"/>
      <c r="V24" s="31"/>
      <c r="W24" s="31"/>
      <c r="X24" s="32"/>
      <c r="Y24" s="10"/>
    </row>
    <row r="25" spans="1:25" x14ac:dyDescent="0.25">
      <c r="I25" s="30"/>
      <c r="J25" s="31"/>
      <c r="K25" s="31"/>
      <c r="L25" s="31"/>
      <c r="M25" s="31"/>
      <c r="N25" s="31"/>
      <c r="O25" s="31"/>
      <c r="P25" s="31"/>
      <c r="Q25" s="31"/>
      <c r="R25" s="31"/>
      <c r="S25" s="31"/>
      <c r="T25" s="31"/>
      <c r="U25" s="31"/>
      <c r="V25" s="31"/>
      <c r="W25" s="31"/>
      <c r="X25" s="32"/>
      <c r="Y25" s="10"/>
    </row>
    <row r="26" spans="1:25" x14ac:dyDescent="0.25">
      <c r="I26" s="30"/>
      <c r="J26" s="31"/>
      <c r="K26" s="31"/>
      <c r="L26" s="31"/>
      <c r="M26" s="31"/>
      <c r="N26" s="31"/>
      <c r="O26" s="31"/>
      <c r="P26" s="31"/>
      <c r="Q26" s="31"/>
      <c r="R26" s="31"/>
      <c r="S26" s="31"/>
      <c r="T26" s="31"/>
      <c r="U26" s="31"/>
      <c r="V26" s="31"/>
      <c r="W26" s="31"/>
      <c r="X26" s="32"/>
      <c r="Y26" s="10"/>
    </row>
    <row r="27" spans="1:25" x14ac:dyDescent="0.25">
      <c r="I27" s="30"/>
      <c r="J27" s="31"/>
      <c r="K27" s="31"/>
      <c r="L27" s="31"/>
      <c r="M27" s="31"/>
      <c r="N27" s="31"/>
      <c r="O27" s="31"/>
      <c r="P27" s="31"/>
      <c r="Q27" s="31"/>
      <c r="R27" s="31"/>
      <c r="S27" s="31"/>
      <c r="T27" s="31"/>
      <c r="U27" s="31"/>
      <c r="V27" s="31"/>
      <c r="W27" s="31"/>
      <c r="X27" s="32"/>
      <c r="Y27" s="10"/>
    </row>
    <row r="28" spans="1:25" x14ac:dyDescent="0.25">
      <c r="I28" s="30"/>
      <c r="J28" s="31"/>
      <c r="K28" s="31"/>
      <c r="L28" s="31"/>
      <c r="M28" s="31"/>
      <c r="N28" s="31"/>
      <c r="O28" s="31"/>
      <c r="P28" s="31"/>
      <c r="Q28" s="31"/>
      <c r="R28" s="31"/>
      <c r="S28" s="31"/>
      <c r="T28" s="31"/>
      <c r="U28" s="31"/>
      <c r="V28" s="31"/>
      <c r="W28" s="31"/>
      <c r="X28" s="32"/>
      <c r="Y28" s="10"/>
    </row>
    <row r="29" spans="1:25" ht="15.75" thickBot="1" x14ac:dyDescent="0.3">
      <c r="I29" s="33"/>
      <c r="J29" s="34"/>
      <c r="K29" s="34"/>
      <c r="L29" s="34"/>
      <c r="M29" s="34"/>
      <c r="N29" s="34"/>
      <c r="O29" s="34"/>
      <c r="P29" s="34"/>
      <c r="Q29" s="34"/>
      <c r="R29" s="34"/>
      <c r="S29" s="34"/>
      <c r="T29" s="34"/>
      <c r="U29" s="34"/>
      <c r="V29" s="34"/>
      <c r="W29" s="34"/>
      <c r="X29" s="35"/>
      <c r="Y29" s="10"/>
    </row>
  </sheetData>
  <mergeCells count="8">
    <mergeCell ref="Q16:Q17"/>
    <mergeCell ref="A4:B5"/>
    <mergeCell ref="A13:B14"/>
    <mergeCell ref="I12:N13"/>
    <mergeCell ref="I16:J17"/>
    <mergeCell ref="K16:L17"/>
    <mergeCell ref="M16:N17"/>
    <mergeCell ref="O16:P17"/>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F4EE75-B61F-468B-A7A6-55431D794966}">
  <dimension ref="A1:AD217"/>
  <sheetViews>
    <sheetView workbookViewId="0">
      <selection activeCell="L4" sqref="L4"/>
    </sheetView>
  </sheetViews>
  <sheetFormatPr defaultRowHeight="15" x14ac:dyDescent="0.25"/>
  <cols>
    <col min="4" max="4" width="13" customWidth="1"/>
    <col min="7" max="7" width="10.5703125" bestFit="1" customWidth="1"/>
    <col min="9" max="9" width="11" customWidth="1"/>
    <col min="13" max="13" width="14.42578125" bestFit="1" customWidth="1"/>
    <col min="14" max="14" width="10.85546875" customWidth="1"/>
    <col min="23" max="23" width="15.28515625" customWidth="1"/>
  </cols>
  <sheetData>
    <row r="1" spans="1:30" ht="38.25" x14ac:dyDescent="0.25">
      <c r="A1" s="235" t="s">
        <v>109</v>
      </c>
      <c r="B1" s="235" t="s">
        <v>110</v>
      </c>
      <c r="C1" s="235" t="s">
        <v>111</v>
      </c>
      <c r="D1" s="235" t="s">
        <v>112</v>
      </c>
      <c r="E1" s="235" t="s">
        <v>113</v>
      </c>
      <c r="F1" s="235" t="s">
        <v>114</v>
      </c>
      <c r="G1" s="235" t="s">
        <v>115</v>
      </c>
      <c r="H1" s="235" t="s">
        <v>116</v>
      </c>
      <c r="I1" s="235" t="s">
        <v>117</v>
      </c>
      <c r="J1" s="235" t="s">
        <v>118</v>
      </c>
      <c r="K1" s="235" t="s">
        <v>119</v>
      </c>
      <c r="L1" s="10"/>
      <c r="O1" s="214" t="s">
        <v>216</v>
      </c>
      <c r="P1" s="215"/>
      <c r="Q1" s="215"/>
      <c r="R1" s="215"/>
      <c r="S1" s="215"/>
      <c r="T1" s="215"/>
      <c r="U1" s="215"/>
      <c r="V1" s="216"/>
      <c r="W1" s="214" t="s">
        <v>170</v>
      </c>
      <c r="X1" s="215"/>
      <c r="Y1" s="215"/>
      <c r="Z1" s="215"/>
      <c r="AA1" s="216"/>
    </row>
    <row r="2" spans="1:30" ht="15.75" x14ac:dyDescent="0.25">
      <c r="A2" s="27" t="s">
        <v>132</v>
      </c>
      <c r="B2" s="11">
        <v>42370</v>
      </c>
      <c r="C2" s="12" t="s">
        <v>120</v>
      </c>
      <c r="D2" s="12" t="s">
        <v>121</v>
      </c>
      <c r="E2" s="12">
        <v>0</v>
      </c>
      <c r="F2" s="12" t="s">
        <v>122</v>
      </c>
      <c r="G2" s="13">
        <v>42</v>
      </c>
      <c r="H2" s="12"/>
      <c r="I2" s="26" t="s">
        <v>131</v>
      </c>
      <c r="J2" s="12">
        <v>97716254</v>
      </c>
      <c r="K2" s="14">
        <v>6</v>
      </c>
      <c r="L2" s="19">
        <v>2.6</v>
      </c>
      <c r="M2" s="20" t="s">
        <v>126</v>
      </c>
      <c r="O2" s="322" t="s">
        <v>154</v>
      </c>
      <c r="P2" s="324" t="s">
        <v>155</v>
      </c>
      <c r="Q2" s="326" t="s">
        <v>156</v>
      </c>
      <c r="R2" s="328" t="s">
        <v>157</v>
      </c>
      <c r="S2" s="329"/>
      <c r="T2" s="329"/>
      <c r="U2" s="329"/>
      <c r="V2" s="330"/>
      <c r="W2" s="229" t="s">
        <v>162</v>
      </c>
      <c r="X2" s="230">
        <v>7.7499999999999999E-2</v>
      </c>
      <c r="Y2" s="56" t="s">
        <v>163</v>
      </c>
      <c r="Z2" s="29"/>
      <c r="AA2" s="60"/>
    </row>
    <row r="3" spans="1:30" ht="16.5" thickBot="1" x14ac:dyDescent="0.3">
      <c r="A3" s="27" t="s">
        <v>132</v>
      </c>
      <c r="B3" s="15">
        <v>42370</v>
      </c>
      <c r="C3" s="16" t="s">
        <v>120</v>
      </c>
      <c r="D3" s="16" t="s">
        <v>123</v>
      </c>
      <c r="E3" s="16">
        <v>246</v>
      </c>
      <c r="F3" s="16" t="s">
        <v>122</v>
      </c>
      <c r="G3" s="17">
        <f>E3*H3</f>
        <v>686.34</v>
      </c>
      <c r="H3" s="17">
        <v>2.79</v>
      </c>
      <c r="I3" s="26" t="s">
        <v>131</v>
      </c>
      <c r="J3" s="16">
        <v>8188860</v>
      </c>
      <c r="K3" s="18">
        <v>2</v>
      </c>
      <c r="L3" s="19">
        <v>3.05</v>
      </c>
      <c r="M3" s="20" t="s">
        <v>127</v>
      </c>
      <c r="O3" s="323"/>
      <c r="P3" s="325"/>
      <c r="Q3" s="327"/>
      <c r="R3" s="226" t="s">
        <v>158</v>
      </c>
      <c r="S3" s="227" t="s">
        <v>159</v>
      </c>
      <c r="T3" s="227" t="s">
        <v>160</v>
      </c>
      <c r="U3" s="227" t="s">
        <v>161</v>
      </c>
      <c r="V3" s="228" t="s">
        <v>137</v>
      </c>
      <c r="W3" s="231" t="s">
        <v>171</v>
      </c>
      <c r="X3" s="232">
        <v>0.1</v>
      </c>
      <c r="Y3" s="61"/>
      <c r="Z3" s="61"/>
      <c r="AA3" s="62"/>
    </row>
    <row r="4" spans="1:30" x14ac:dyDescent="0.25">
      <c r="A4" s="27" t="s">
        <v>132</v>
      </c>
      <c r="B4" s="15">
        <v>42370</v>
      </c>
      <c r="C4" s="16" t="s">
        <v>120</v>
      </c>
      <c r="D4" s="16" t="s">
        <v>121</v>
      </c>
      <c r="E4" s="16">
        <v>0</v>
      </c>
      <c r="F4" s="16" t="s">
        <v>122</v>
      </c>
      <c r="G4" s="17">
        <f>76.48+47.47</f>
        <v>123.95</v>
      </c>
      <c r="H4" s="16"/>
      <c r="I4" s="26" t="s">
        <v>131</v>
      </c>
      <c r="J4" s="16">
        <v>8188860</v>
      </c>
      <c r="K4" s="18">
        <v>2</v>
      </c>
      <c r="L4" s="10"/>
      <c r="M4" s="10"/>
      <c r="O4" s="224" t="s">
        <v>133</v>
      </c>
      <c r="P4" s="236" t="s">
        <v>164</v>
      </c>
      <c r="Q4" s="237" t="str">
        <f>O4&amp;P4</f>
        <v>SinkAll Types</v>
      </c>
      <c r="R4" s="49">
        <v>22</v>
      </c>
      <c r="S4" s="50">
        <v>30</v>
      </c>
      <c r="T4" s="50">
        <f t="shared" ref="T4" si="0">SUM(R4:S4)</f>
        <v>52</v>
      </c>
      <c r="U4" s="51">
        <f xml:space="preserve"> ROUND(S4*Sales_Tax,2)</f>
        <v>2.33</v>
      </c>
      <c r="V4" s="217">
        <f t="shared" ref="V4" si="1" xml:space="preserve"> ROUND(SUM(T4:U4),2)</f>
        <v>54.33</v>
      </c>
      <c r="W4" s="10"/>
    </row>
    <row r="5" spans="1:30" x14ac:dyDescent="0.25">
      <c r="A5" s="27" t="s">
        <v>132</v>
      </c>
      <c r="B5" s="15">
        <v>42370</v>
      </c>
      <c r="C5" s="16" t="s">
        <v>124</v>
      </c>
      <c r="D5" s="16" t="s">
        <v>125</v>
      </c>
      <c r="E5" s="16">
        <f>E3</f>
        <v>246</v>
      </c>
      <c r="F5" s="16" t="s">
        <v>122</v>
      </c>
      <c r="G5" s="17">
        <v>848.32</v>
      </c>
      <c r="H5" s="17">
        <f>G5/E5</f>
        <v>3.4484552845528458</v>
      </c>
      <c r="I5" s="26" t="s">
        <v>131</v>
      </c>
      <c r="J5" s="16">
        <v>8188860</v>
      </c>
      <c r="K5" s="18">
        <v>2</v>
      </c>
      <c r="L5" s="19">
        <f>L2/748*1000</f>
        <v>3.4759358288770055</v>
      </c>
      <c r="M5" s="10" t="s">
        <v>128</v>
      </c>
      <c r="O5" s="224" t="s">
        <v>134</v>
      </c>
      <c r="P5" s="236" t="s">
        <v>164</v>
      </c>
      <c r="Q5" s="237" t="str">
        <f t="shared" ref="Q5:Q6" si="2">O5&amp;P5</f>
        <v>ShowerAll Types</v>
      </c>
      <c r="R5" s="52">
        <v>22</v>
      </c>
      <c r="S5" s="53">
        <v>46</v>
      </c>
      <c r="T5" s="53">
        <f t="shared" ref="T5:T6" si="3">SUM(R5:S5)</f>
        <v>68</v>
      </c>
      <c r="U5" s="54">
        <f xml:space="preserve"> ROUND(S5*Sales_Tax,2)</f>
        <v>3.57</v>
      </c>
      <c r="V5" s="218">
        <f t="shared" ref="V5:V6" si="4" xml:space="preserve"> ROUND(SUM(T5:U5),2)</f>
        <v>71.569999999999993</v>
      </c>
      <c r="W5" s="10"/>
    </row>
    <row r="6" spans="1:30" x14ac:dyDescent="0.25">
      <c r="A6" s="27" t="s">
        <v>132</v>
      </c>
      <c r="B6" s="15">
        <v>42370</v>
      </c>
      <c r="C6" s="16" t="s">
        <v>120</v>
      </c>
      <c r="D6" s="16" t="s">
        <v>123</v>
      </c>
      <c r="E6" s="16">
        <v>241</v>
      </c>
      <c r="F6" s="16" t="s">
        <v>122</v>
      </c>
      <c r="G6" s="17">
        <f>E6*H6</f>
        <v>672.39</v>
      </c>
      <c r="H6" s="17">
        <v>2.79</v>
      </c>
      <c r="I6" s="26" t="s">
        <v>131</v>
      </c>
      <c r="J6" s="16">
        <v>13343489</v>
      </c>
      <c r="K6" s="18">
        <v>2</v>
      </c>
      <c r="L6" s="19">
        <f>L3/748*1000</f>
        <v>4.0775401069518713</v>
      </c>
      <c r="M6" s="10" t="s">
        <v>129</v>
      </c>
      <c r="O6" s="224" t="s">
        <v>135</v>
      </c>
      <c r="P6" s="238">
        <v>3.5</v>
      </c>
      <c r="Q6" s="237" t="str">
        <f t="shared" si="2"/>
        <v>Toilet3.5</v>
      </c>
      <c r="R6" s="52">
        <v>32</v>
      </c>
      <c r="S6" s="55">
        <v>78.61</v>
      </c>
      <c r="T6" s="53">
        <f t="shared" si="3"/>
        <v>110.61</v>
      </c>
      <c r="U6" s="54">
        <f xml:space="preserve"> ROUND(S6*Sales_Tax,2)</f>
        <v>6.09</v>
      </c>
      <c r="V6" s="218">
        <f t="shared" si="4"/>
        <v>116.7</v>
      </c>
      <c r="W6" s="10"/>
    </row>
    <row r="7" spans="1:30" ht="16.5" thickBot="1" x14ac:dyDescent="0.3">
      <c r="A7" s="27" t="s">
        <v>132</v>
      </c>
      <c r="B7" s="15">
        <v>42370</v>
      </c>
      <c r="C7" s="16" t="s">
        <v>120</v>
      </c>
      <c r="D7" s="16" t="s">
        <v>121</v>
      </c>
      <c r="E7" s="16">
        <v>0</v>
      </c>
      <c r="F7" s="16" t="s">
        <v>122</v>
      </c>
      <c r="G7" s="17">
        <f>76.48+47.47</f>
        <v>123.95</v>
      </c>
      <c r="H7" s="16"/>
      <c r="I7" s="26" t="s">
        <v>131</v>
      </c>
      <c r="J7" s="16">
        <v>13343489</v>
      </c>
      <c r="K7" s="18">
        <v>2</v>
      </c>
      <c r="L7" s="234">
        <f>SUM(L5:L6)</f>
        <v>7.5534759358288763</v>
      </c>
      <c r="M7" s="10" t="s">
        <v>130</v>
      </c>
      <c r="N7" s="10"/>
      <c r="O7" s="225" t="s">
        <v>136</v>
      </c>
      <c r="P7" s="239">
        <v>0.5</v>
      </c>
      <c r="Q7" s="240" t="str">
        <f t="shared" ref="Q7" si="5">O7&amp;P7</f>
        <v>Urinal0.5</v>
      </c>
      <c r="R7" s="219">
        <v>32</v>
      </c>
      <c r="S7" s="220">
        <v>78.61</v>
      </c>
      <c r="T7" s="221">
        <f>SUM(R7:S7)</f>
        <v>110.61</v>
      </c>
      <c r="U7" s="222">
        <f xml:space="preserve"> ROUND(S7*Sales_Tax,2)</f>
        <v>6.09</v>
      </c>
      <c r="V7" s="223">
        <f t="shared" ref="V7" si="6" xml:space="preserve"> ROUND(SUM(T7:U7),2)</f>
        <v>116.7</v>
      </c>
      <c r="W7" s="10"/>
    </row>
    <row r="8" spans="1:30" x14ac:dyDescent="0.25">
      <c r="A8" s="27" t="s">
        <v>132</v>
      </c>
      <c r="B8" s="15">
        <v>42370</v>
      </c>
      <c r="C8" s="16" t="s">
        <v>124</v>
      </c>
      <c r="D8" s="16" t="s">
        <v>125</v>
      </c>
      <c r="E8" s="16">
        <f>E6</f>
        <v>241</v>
      </c>
      <c r="F8" s="16" t="s">
        <v>122</v>
      </c>
      <c r="G8" s="17">
        <v>832.52</v>
      </c>
      <c r="H8" s="17">
        <f>G8/E8</f>
        <v>3.4544398340248961</v>
      </c>
      <c r="I8" s="26" t="s">
        <v>131</v>
      </c>
      <c r="J8" s="16">
        <v>13343489</v>
      </c>
      <c r="K8" s="18">
        <v>2</v>
      </c>
      <c r="L8" s="10"/>
      <c r="W8" s="10"/>
    </row>
    <row r="9" spans="1:30" ht="15.75" thickBot="1" x14ac:dyDescent="0.3">
      <c r="A9" s="27" t="s">
        <v>132</v>
      </c>
      <c r="B9" s="15">
        <v>42370</v>
      </c>
      <c r="C9" s="16" t="s">
        <v>120</v>
      </c>
      <c r="D9" s="16" t="s">
        <v>123</v>
      </c>
      <c r="E9" s="16">
        <v>350</v>
      </c>
      <c r="F9" s="16" t="s">
        <v>122</v>
      </c>
      <c r="G9" s="17">
        <f>E9*H9</f>
        <v>976.5</v>
      </c>
      <c r="H9" s="17">
        <v>2.79</v>
      </c>
      <c r="I9" s="26" t="s">
        <v>131</v>
      </c>
      <c r="J9" s="16">
        <v>16323417</v>
      </c>
      <c r="K9" s="18">
        <v>2</v>
      </c>
      <c r="L9" s="10"/>
      <c r="W9" s="10"/>
    </row>
    <row r="10" spans="1:30" ht="18" x14ac:dyDescent="0.25">
      <c r="A10" s="27" t="s">
        <v>132</v>
      </c>
      <c r="B10" s="15">
        <v>42370</v>
      </c>
      <c r="C10" s="16" t="s">
        <v>120</v>
      </c>
      <c r="D10" s="16" t="s">
        <v>121</v>
      </c>
      <c r="E10" s="16">
        <v>0</v>
      </c>
      <c r="F10" s="16" t="s">
        <v>122</v>
      </c>
      <c r="G10" s="17">
        <f>76.48+47.47</f>
        <v>123.95</v>
      </c>
      <c r="H10" s="16"/>
      <c r="I10" s="26" t="s">
        <v>131</v>
      </c>
      <c r="J10" s="16">
        <v>16323417</v>
      </c>
      <c r="K10" s="18">
        <v>2</v>
      </c>
      <c r="L10" s="10"/>
      <c r="O10" s="135"/>
      <c r="P10" s="136"/>
      <c r="Q10" s="136"/>
      <c r="R10" s="136"/>
      <c r="S10" s="137" t="s">
        <v>190</v>
      </c>
      <c r="T10" s="137"/>
      <c r="U10" s="137"/>
      <c r="V10" s="138"/>
      <c r="W10" s="139"/>
      <c r="X10" s="139"/>
      <c r="Y10" s="138"/>
      <c r="Z10" s="137" t="s">
        <v>215</v>
      </c>
      <c r="AA10" s="138"/>
      <c r="AB10" s="138"/>
      <c r="AC10" s="138"/>
      <c r="AD10" s="140"/>
    </row>
    <row r="11" spans="1:30" x14ac:dyDescent="0.25">
      <c r="A11" s="27" t="s">
        <v>132</v>
      </c>
      <c r="B11" s="15">
        <v>42370</v>
      </c>
      <c r="C11" s="16" t="s">
        <v>124</v>
      </c>
      <c r="D11" s="16" t="s">
        <v>125</v>
      </c>
      <c r="E11" s="16">
        <f>E9</f>
        <v>350</v>
      </c>
      <c r="F11" s="16" t="s">
        <v>122</v>
      </c>
      <c r="G11" s="17">
        <v>1176.96</v>
      </c>
      <c r="H11" s="17">
        <f>G11/E11</f>
        <v>3.362742857142857</v>
      </c>
      <c r="I11" s="26" t="s">
        <v>131</v>
      </c>
      <c r="J11" s="16">
        <v>16323417</v>
      </c>
      <c r="K11" s="18">
        <v>2</v>
      </c>
      <c r="L11" s="10"/>
      <c r="O11" s="141"/>
      <c r="P11" s="331" t="s">
        <v>154</v>
      </c>
      <c r="Q11" s="333" t="s">
        <v>155</v>
      </c>
      <c r="R11" s="316" t="s">
        <v>191</v>
      </c>
      <c r="S11" s="142" t="s">
        <v>192</v>
      </c>
      <c r="T11" s="181"/>
      <c r="U11" s="182"/>
      <c r="V11" s="142" t="s">
        <v>193</v>
      </c>
      <c r="W11" s="181"/>
      <c r="X11" s="182"/>
      <c r="Y11" s="314" t="s">
        <v>194</v>
      </c>
      <c r="Z11" s="183" t="s">
        <v>195</v>
      </c>
      <c r="AA11" s="184"/>
      <c r="AB11" s="143"/>
      <c r="AC11" s="316" t="str">
        <f xml:space="preserve"> gas_company &amp; " Incentive"</f>
        <v>Socal Gas Incentive</v>
      </c>
      <c r="AD11" s="144"/>
    </row>
    <row r="12" spans="1:30" x14ac:dyDescent="0.25">
      <c r="A12" s="27" t="s">
        <v>132</v>
      </c>
      <c r="B12" s="15">
        <v>42370</v>
      </c>
      <c r="C12" s="16" t="s">
        <v>120</v>
      </c>
      <c r="D12" s="16" t="s">
        <v>123</v>
      </c>
      <c r="E12" s="16">
        <v>361</v>
      </c>
      <c r="F12" s="16" t="s">
        <v>122</v>
      </c>
      <c r="G12" s="17">
        <f>E12*H12</f>
        <v>1007.19</v>
      </c>
      <c r="H12" s="17">
        <v>2.79</v>
      </c>
      <c r="I12" s="26" t="s">
        <v>131</v>
      </c>
      <c r="J12" s="16">
        <v>29798386</v>
      </c>
      <c r="K12" s="18">
        <v>2</v>
      </c>
      <c r="L12" s="10"/>
      <c r="O12" s="141"/>
      <c r="P12" s="332"/>
      <c r="Q12" s="334"/>
      <c r="R12" s="317"/>
      <c r="S12" s="185" t="str">
        <f xml:space="preserve"> gas_company</f>
        <v>Socal Gas</v>
      </c>
      <c r="T12" s="186" t="str">
        <f xml:space="preserve">  water_wholesaler</f>
        <v>MWD</v>
      </c>
      <c r="U12" s="187" t="str">
        <f xml:space="preserve">  water_purveyer</f>
        <v>MWDOC</v>
      </c>
      <c r="V12" s="185" t="str">
        <f xml:space="preserve"> gas_company</f>
        <v>Socal Gas</v>
      </c>
      <c r="W12" s="186" t="str">
        <f xml:space="preserve">  water_wholesaler</f>
        <v>MWD</v>
      </c>
      <c r="X12" s="187" t="str">
        <f xml:space="preserve">  water_purveyer</f>
        <v>MWDOC</v>
      </c>
      <c r="Y12" s="315" t="s">
        <v>196</v>
      </c>
      <c r="Z12" s="188" t="s">
        <v>197</v>
      </c>
      <c r="AA12" s="189" t="s">
        <v>198</v>
      </c>
      <c r="AB12" s="190" t="s">
        <v>199</v>
      </c>
      <c r="AC12" s="317" t="s">
        <v>200</v>
      </c>
      <c r="AD12" s="144"/>
    </row>
    <row r="13" spans="1:30" ht="15" customHeight="1" x14ac:dyDescent="0.25">
      <c r="A13" s="27" t="s">
        <v>132</v>
      </c>
      <c r="B13" s="15">
        <v>42370</v>
      </c>
      <c r="C13" s="16" t="s">
        <v>120</v>
      </c>
      <c r="D13" s="16" t="s">
        <v>121</v>
      </c>
      <c r="E13" s="16">
        <v>0</v>
      </c>
      <c r="F13" s="16" t="s">
        <v>122</v>
      </c>
      <c r="G13" s="17">
        <f>76.48+47.47</f>
        <v>123.95</v>
      </c>
      <c r="H13" s="16"/>
      <c r="I13" s="26" t="s">
        <v>131</v>
      </c>
      <c r="J13" s="16">
        <v>29798386</v>
      </c>
      <c r="K13" s="18">
        <v>2</v>
      </c>
      <c r="L13" s="10"/>
      <c r="O13" s="141"/>
      <c r="P13" s="335" t="s">
        <v>201</v>
      </c>
      <c r="Q13" s="191" t="s">
        <v>133</v>
      </c>
      <c r="R13" s="155">
        <f>Efficiency_Project_Calcs!B7</f>
        <v>1524</v>
      </c>
      <c r="S13" s="194">
        <f>6.5</f>
        <v>6.5</v>
      </c>
      <c r="T13" s="195">
        <v>10</v>
      </c>
      <c r="U13" s="196">
        <v>10</v>
      </c>
      <c r="V13" s="145">
        <f>S13*R13</f>
        <v>9906</v>
      </c>
      <c r="W13" s="146">
        <f>T13*R13</f>
        <v>15240</v>
      </c>
      <c r="X13" s="147">
        <f>U13*R13</f>
        <v>15240</v>
      </c>
      <c r="Y13" s="197">
        <f>SUM(V13:X13)</f>
        <v>40386</v>
      </c>
      <c r="Z13" s="148">
        <f>Efficiency_Project_Calcs!B16</f>
        <v>9122.6640000000007</v>
      </c>
      <c r="AA13" s="149">
        <f>Efficiency_Project_Calcs!C16</f>
        <v>44703.437656192</v>
      </c>
      <c r="AB13" s="198">
        <f>AA13*therm_cost</f>
        <v>29620.497790992817</v>
      </c>
      <c r="AC13" s="198">
        <f>AA13*incentive_therm</f>
        <v>29620.497790992817</v>
      </c>
      <c r="AD13" s="144"/>
    </row>
    <row r="14" spans="1:30" x14ac:dyDescent="0.25">
      <c r="A14" s="27" t="s">
        <v>132</v>
      </c>
      <c r="B14" s="15">
        <v>42370</v>
      </c>
      <c r="C14" s="16" t="s">
        <v>124</v>
      </c>
      <c r="D14" s="16" t="s">
        <v>125</v>
      </c>
      <c r="E14" s="16">
        <f>E12</f>
        <v>361</v>
      </c>
      <c r="F14" s="16" t="s">
        <v>122</v>
      </c>
      <c r="G14" s="17">
        <v>1211.72</v>
      </c>
      <c r="H14" s="17">
        <f>G14/E14</f>
        <v>3.3565650969529086</v>
      </c>
      <c r="I14" s="26" t="s">
        <v>131</v>
      </c>
      <c r="J14" s="16">
        <v>29798386</v>
      </c>
      <c r="K14" s="18">
        <v>2</v>
      </c>
      <c r="L14" s="10"/>
      <c r="M14" s="19"/>
      <c r="N14" s="10"/>
      <c r="O14" s="141"/>
      <c r="P14" s="336"/>
      <c r="Q14" s="192" t="s">
        <v>134</v>
      </c>
      <c r="R14" s="156">
        <f>Efficiency_Project_Calcs!B8</f>
        <v>218</v>
      </c>
      <c r="S14" s="199"/>
      <c r="T14" s="200">
        <v>5</v>
      </c>
      <c r="U14" s="201">
        <v>5</v>
      </c>
      <c r="V14" s="150">
        <f>S14*R14</f>
        <v>0</v>
      </c>
      <c r="W14" s="151">
        <f>T14*R14</f>
        <v>1090</v>
      </c>
      <c r="X14" s="152">
        <f>U14*R14</f>
        <v>1090</v>
      </c>
      <c r="Y14" s="202">
        <f>SUM(V14:X14)</f>
        <v>2180</v>
      </c>
      <c r="Z14" s="153">
        <f>Efficiency_Project_Calcs!B17</f>
        <v>2387.1</v>
      </c>
      <c r="AA14" s="154">
        <f>Efficiency_Project_Calcs!C17</f>
        <v>11697.413828799998</v>
      </c>
      <c r="AB14" s="203">
        <f>AA14*therm_cost</f>
        <v>7750.7064029628782</v>
      </c>
      <c r="AC14" s="203">
        <f>AA14*incentive_therm</f>
        <v>7750.7064029628782</v>
      </c>
      <c r="AD14" s="144"/>
    </row>
    <row r="15" spans="1:30" ht="15.75" thickBot="1" x14ac:dyDescent="0.3">
      <c r="A15" s="27" t="s">
        <v>132</v>
      </c>
      <c r="B15" s="15">
        <v>42370</v>
      </c>
      <c r="C15" s="16" t="s">
        <v>120</v>
      </c>
      <c r="D15" s="16" t="s">
        <v>123</v>
      </c>
      <c r="E15" s="16">
        <v>379</v>
      </c>
      <c r="F15" s="16" t="s">
        <v>122</v>
      </c>
      <c r="G15" s="17">
        <f>E15*H15</f>
        <v>1057.4100000000001</v>
      </c>
      <c r="H15" s="17">
        <v>2.79</v>
      </c>
      <c r="I15" s="26" t="s">
        <v>131</v>
      </c>
      <c r="J15" s="16">
        <v>19086736</v>
      </c>
      <c r="K15" s="18">
        <v>2</v>
      </c>
      <c r="L15" s="10"/>
      <c r="O15" s="141"/>
      <c r="P15" s="337"/>
      <c r="Q15" s="193" t="s">
        <v>137</v>
      </c>
      <c r="R15" s="157">
        <f>SUM(R13:R14)</f>
        <v>1742</v>
      </c>
      <c r="S15" s="204"/>
      <c r="T15" s="205"/>
      <c r="U15" s="206"/>
      <c r="V15" s="207">
        <f t="shared" ref="V15:AC15" si="7">SUM(V13:V14)</f>
        <v>9906</v>
      </c>
      <c r="W15" s="208">
        <f t="shared" si="7"/>
        <v>16330</v>
      </c>
      <c r="X15" s="208">
        <f t="shared" si="7"/>
        <v>16330</v>
      </c>
      <c r="Y15" s="209">
        <f t="shared" si="7"/>
        <v>42566</v>
      </c>
      <c r="Z15" s="210">
        <f t="shared" si="7"/>
        <v>11509.764000000001</v>
      </c>
      <c r="AA15" s="211">
        <f t="shared" si="7"/>
        <v>56400.851484991996</v>
      </c>
      <c r="AB15" s="212">
        <f t="shared" si="7"/>
        <v>37371.204193955695</v>
      </c>
      <c r="AC15" s="213">
        <f t="shared" si="7"/>
        <v>37371.204193955695</v>
      </c>
      <c r="AD15" s="144"/>
    </row>
    <row r="16" spans="1:30" x14ac:dyDescent="0.25">
      <c r="A16" s="27" t="s">
        <v>132</v>
      </c>
      <c r="B16" s="15">
        <v>42370</v>
      </c>
      <c r="C16" s="16" t="s">
        <v>120</v>
      </c>
      <c r="D16" s="16" t="s">
        <v>121</v>
      </c>
      <c r="E16" s="16">
        <v>0</v>
      </c>
      <c r="F16" s="16" t="s">
        <v>122</v>
      </c>
      <c r="G16" s="17">
        <f>76.48+47.47</f>
        <v>123.95</v>
      </c>
      <c r="H16" s="16"/>
      <c r="I16" s="26" t="s">
        <v>131</v>
      </c>
      <c r="J16" s="16">
        <v>19086736</v>
      </c>
      <c r="K16" s="18">
        <v>2</v>
      </c>
      <c r="L16" s="10"/>
      <c r="O16" s="141"/>
      <c r="P16" s="158"/>
      <c r="Q16" s="158"/>
      <c r="R16" s="158"/>
      <c r="S16" s="159"/>
      <c r="T16" s="159"/>
      <c r="U16" s="159"/>
      <c r="V16" s="159"/>
      <c r="W16" s="159"/>
      <c r="X16" s="160"/>
      <c r="Y16" s="161"/>
      <c r="Z16" s="161"/>
      <c r="AA16" s="160"/>
      <c r="AB16" s="162"/>
      <c r="AC16" s="163"/>
      <c r="AD16" s="144"/>
    </row>
    <row r="17" spans="1:30" ht="15.75" thickBot="1" x14ac:dyDescent="0.3">
      <c r="A17" s="27" t="s">
        <v>132</v>
      </c>
      <c r="B17" s="15">
        <v>42370</v>
      </c>
      <c r="C17" s="16" t="s">
        <v>124</v>
      </c>
      <c r="D17" s="16" t="s">
        <v>125</v>
      </c>
      <c r="E17" s="16">
        <f>E15</f>
        <v>379</v>
      </c>
      <c r="F17" s="16" t="s">
        <v>122</v>
      </c>
      <c r="G17" s="17">
        <v>1268.5999999999999</v>
      </c>
      <c r="H17" s="17">
        <f>G17/E17</f>
        <v>3.3472295514511869</v>
      </c>
      <c r="I17" s="26" t="s">
        <v>131</v>
      </c>
      <c r="J17" s="16">
        <v>19086736</v>
      </c>
      <c r="K17" s="18">
        <v>2</v>
      </c>
      <c r="L17" s="10"/>
      <c r="O17" s="141"/>
      <c r="P17" s="158"/>
      <c r="Q17" s="158"/>
      <c r="R17" s="158"/>
      <c r="S17" s="158"/>
      <c r="T17" s="159"/>
      <c r="U17" s="159"/>
      <c r="V17" s="159"/>
      <c r="W17" s="159"/>
      <c r="X17" s="159"/>
      <c r="Y17" s="158"/>
      <c r="Z17" s="160"/>
      <c r="AA17" s="160"/>
      <c r="AB17" s="164" t="s">
        <v>202</v>
      </c>
      <c r="AC17" s="165">
        <f xml:space="preserve"> 50% * SUM(Proposal!K14:L17)</f>
        <v>90837.559999999983</v>
      </c>
      <c r="AD17" s="144"/>
    </row>
    <row r="18" spans="1:30" ht="15.75" thickBot="1" x14ac:dyDescent="0.3">
      <c r="A18" s="27" t="s">
        <v>132</v>
      </c>
      <c r="B18" s="15">
        <v>42370</v>
      </c>
      <c r="C18" s="16" t="s">
        <v>120</v>
      </c>
      <c r="D18" s="16" t="s">
        <v>123</v>
      </c>
      <c r="E18" s="16">
        <v>583</v>
      </c>
      <c r="F18" s="16" t="s">
        <v>122</v>
      </c>
      <c r="G18" s="17">
        <f>E18*H18</f>
        <v>1626.57</v>
      </c>
      <c r="H18" s="17">
        <v>2.79</v>
      </c>
      <c r="I18" s="26" t="s">
        <v>131</v>
      </c>
      <c r="J18" s="16">
        <v>19086744</v>
      </c>
      <c r="K18" s="18">
        <v>2</v>
      </c>
      <c r="L18" s="10"/>
      <c r="O18" s="141"/>
      <c r="P18" s="158"/>
      <c r="Q18" s="158"/>
      <c r="R18" s="158"/>
      <c r="S18" s="158"/>
      <c r="T18" s="159"/>
      <c r="U18" s="159"/>
      <c r="V18" s="159"/>
      <c r="W18" s="159"/>
      <c r="X18" s="159"/>
      <c r="Y18" s="158"/>
      <c r="Z18" s="160"/>
      <c r="AA18" s="160"/>
      <c r="AB18" s="166" t="s">
        <v>203</v>
      </c>
      <c r="AC18" s="233">
        <f>MIN(AC15:AC17)</f>
        <v>37371.204193955695</v>
      </c>
      <c r="AD18" s="144"/>
    </row>
    <row r="19" spans="1:30" x14ac:dyDescent="0.25">
      <c r="A19" s="27" t="s">
        <v>132</v>
      </c>
      <c r="B19" s="15">
        <v>42370</v>
      </c>
      <c r="C19" s="16" t="s">
        <v>120</v>
      </c>
      <c r="D19" s="16" t="s">
        <v>121</v>
      </c>
      <c r="E19" s="16">
        <v>0</v>
      </c>
      <c r="F19" s="16" t="s">
        <v>122</v>
      </c>
      <c r="G19" s="17">
        <f>76.48+47.47</f>
        <v>123.95</v>
      </c>
      <c r="H19" s="16"/>
      <c r="I19" s="26" t="s">
        <v>131</v>
      </c>
      <c r="J19" s="16">
        <v>19086744</v>
      </c>
      <c r="K19" s="18">
        <v>2</v>
      </c>
      <c r="L19" s="10"/>
      <c r="O19" s="141"/>
      <c r="P19" s="158"/>
      <c r="Q19" s="158"/>
      <c r="R19" s="158"/>
      <c r="S19" s="158"/>
      <c r="T19" s="159"/>
      <c r="U19" s="159"/>
      <c r="V19" s="159"/>
      <c r="W19" s="159"/>
      <c r="X19" s="159"/>
      <c r="Y19" s="158"/>
      <c r="Z19" s="160"/>
      <c r="AA19" s="160"/>
      <c r="AB19" s="167" t="s">
        <v>204</v>
      </c>
      <c r="AC19" s="165">
        <f>InstallationProposal.ProjectTotal-Rates!AC18</f>
        <v>153449.46760604429</v>
      </c>
      <c r="AD19" s="144"/>
    </row>
    <row r="20" spans="1:30" x14ac:dyDescent="0.25">
      <c r="A20" s="27" t="s">
        <v>132</v>
      </c>
      <c r="B20" s="15">
        <v>42370</v>
      </c>
      <c r="C20" s="16" t="s">
        <v>124</v>
      </c>
      <c r="D20" s="16" t="s">
        <v>125</v>
      </c>
      <c r="E20" s="16">
        <f>E18</f>
        <v>583</v>
      </c>
      <c r="F20" s="16" t="s">
        <v>122</v>
      </c>
      <c r="G20" s="17">
        <v>1913.24</v>
      </c>
      <c r="H20" s="17">
        <f>G20/E20</f>
        <v>3.2817152658662092</v>
      </c>
      <c r="I20" s="26" t="s">
        <v>131</v>
      </c>
      <c r="J20" s="16">
        <v>19086744</v>
      </c>
      <c r="K20" s="18">
        <v>2</v>
      </c>
      <c r="L20" s="10"/>
      <c r="O20" s="141"/>
      <c r="P20" s="159"/>
      <c r="Q20" s="159"/>
      <c r="R20" s="159"/>
      <c r="S20" s="159"/>
      <c r="T20" s="159"/>
      <c r="U20" s="159"/>
      <c r="V20" s="158"/>
      <c r="W20" s="158"/>
      <c r="X20" s="158"/>
      <c r="Y20" s="159"/>
      <c r="Z20" s="159"/>
      <c r="AA20" s="158"/>
      <c r="AB20" s="158"/>
      <c r="AC20" s="168"/>
      <c r="AD20" s="144"/>
    </row>
    <row r="21" spans="1:30" x14ac:dyDescent="0.25">
      <c r="A21" s="27" t="s">
        <v>132</v>
      </c>
      <c r="B21" s="15">
        <v>42370</v>
      </c>
      <c r="C21" s="16" t="s">
        <v>120</v>
      </c>
      <c r="D21" s="16" t="s">
        <v>123</v>
      </c>
      <c r="E21" s="16">
        <v>830</v>
      </c>
      <c r="F21" s="16" t="s">
        <v>122</v>
      </c>
      <c r="G21" s="17">
        <f>E21*H21</f>
        <v>2315.6999999999998</v>
      </c>
      <c r="H21" s="17">
        <v>2.79</v>
      </c>
      <c r="I21" s="26" t="s">
        <v>131</v>
      </c>
      <c r="J21" s="16">
        <v>98520296</v>
      </c>
      <c r="K21" s="18">
        <v>2</v>
      </c>
      <c r="L21" s="10"/>
      <c r="O21" s="141"/>
      <c r="P21" s="159"/>
      <c r="Q21" s="159"/>
      <c r="R21" s="159"/>
      <c r="S21" s="159"/>
      <c r="T21" s="159"/>
      <c r="U21" s="159"/>
      <c r="V21" s="158"/>
      <c r="W21" s="158"/>
      <c r="X21" s="158"/>
      <c r="Y21" s="158"/>
      <c r="Z21" s="158"/>
      <c r="AA21" s="167"/>
      <c r="AB21" s="169"/>
      <c r="AC21" s="168"/>
      <c r="AD21" s="144"/>
    </row>
    <row r="22" spans="1:30" ht="15" customHeight="1" x14ac:dyDescent="0.25">
      <c r="A22" s="27" t="s">
        <v>132</v>
      </c>
      <c r="B22" s="15">
        <v>42370</v>
      </c>
      <c r="C22" s="16" t="s">
        <v>120</v>
      </c>
      <c r="D22" s="16" t="s">
        <v>121</v>
      </c>
      <c r="E22" s="16">
        <v>0</v>
      </c>
      <c r="F22" s="16" t="s">
        <v>122</v>
      </c>
      <c r="G22" s="17">
        <f>76.48+47.47</f>
        <v>123.95</v>
      </c>
      <c r="H22" s="16"/>
      <c r="I22" s="26" t="s">
        <v>131</v>
      </c>
      <c r="J22" s="16">
        <v>98520296</v>
      </c>
      <c r="K22" s="18">
        <v>2</v>
      </c>
      <c r="L22" s="10"/>
      <c r="O22" s="141"/>
      <c r="P22" s="159"/>
      <c r="Q22" s="159"/>
      <c r="R22" s="159"/>
      <c r="S22" s="159"/>
      <c r="T22" s="159"/>
      <c r="U22" s="159"/>
      <c r="V22" s="159"/>
      <c r="W22" s="170"/>
      <c r="X22" s="170"/>
      <c r="Y22" s="160"/>
      <c r="Z22" s="160"/>
      <c r="AA22" s="170"/>
      <c r="AB22" s="320" t="s">
        <v>205</v>
      </c>
      <c r="AC22" s="318" t="s">
        <v>152</v>
      </c>
      <c r="AD22" s="144"/>
    </row>
    <row r="23" spans="1:30" x14ac:dyDescent="0.25">
      <c r="A23" s="27" t="s">
        <v>132</v>
      </c>
      <c r="B23" s="15">
        <v>42370</v>
      </c>
      <c r="C23" s="16" t="s">
        <v>124</v>
      </c>
      <c r="D23" s="16" t="s">
        <v>125</v>
      </c>
      <c r="E23" s="16">
        <f>E21</f>
        <v>830</v>
      </c>
      <c r="F23" s="16" t="s">
        <v>122</v>
      </c>
      <c r="G23" s="17">
        <v>2693.76</v>
      </c>
      <c r="H23" s="17">
        <f>G23/E23</f>
        <v>3.2454939759036145</v>
      </c>
      <c r="I23" s="26" t="s">
        <v>131</v>
      </c>
      <c r="J23" s="16">
        <v>98520296</v>
      </c>
      <c r="K23" s="18">
        <v>2</v>
      </c>
      <c r="L23" s="10"/>
      <c r="O23" s="141"/>
      <c r="P23" s="159"/>
      <c r="Q23" s="159"/>
      <c r="R23" s="159"/>
      <c r="S23" s="159"/>
      <c r="T23" s="159"/>
      <c r="U23" s="159"/>
      <c r="V23" s="159"/>
      <c r="W23" s="170"/>
      <c r="X23" s="170"/>
      <c r="Y23" s="170"/>
      <c r="Z23" s="170"/>
      <c r="AA23" s="170"/>
      <c r="AB23" s="321"/>
      <c r="AC23" s="319"/>
      <c r="AD23" s="144"/>
    </row>
    <row r="24" spans="1:30" x14ac:dyDescent="0.25">
      <c r="A24" s="27" t="s">
        <v>132</v>
      </c>
      <c r="B24" s="15">
        <v>42370</v>
      </c>
      <c r="C24" s="16" t="s">
        <v>120</v>
      </c>
      <c r="D24" s="16" t="s">
        <v>123</v>
      </c>
      <c r="E24" s="16">
        <v>872</v>
      </c>
      <c r="F24" s="16" t="s">
        <v>122</v>
      </c>
      <c r="G24" s="17">
        <f>E24*H24</f>
        <v>2432.88</v>
      </c>
      <c r="H24" s="17">
        <v>2.79</v>
      </c>
      <c r="I24" s="26" t="s">
        <v>131</v>
      </c>
      <c r="J24" s="16">
        <v>97740296</v>
      </c>
      <c r="K24" s="18">
        <v>2</v>
      </c>
      <c r="L24" s="10"/>
      <c r="O24" s="141"/>
      <c r="P24" s="159"/>
      <c r="Q24" s="159"/>
      <c r="R24" s="159"/>
      <c r="S24" s="159"/>
      <c r="T24" s="159"/>
      <c r="U24" s="159"/>
      <c r="V24" s="159"/>
      <c r="W24" s="170"/>
      <c r="X24" s="170"/>
      <c r="Y24" s="170"/>
      <c r="Z24" s="170"/>
      <c r="AA24" s="170"/>
      <c r="AB24" s="171">
        <v>1</v>
      </c>
      <c r="AC24" s="45">
        <v>0.66259999999999997</v>
      </c>
      <c r="AD24" s="144"/>
    </row>
    <row r="25" spans="1:30" ht="15.75" thickBot="1" x14ac:dyDescent="0.3">
      <c r="A25" s="27" t="s">
        <v>132</v>
      </c>
      <c r="B25" s="15">
        <v>42370</v>
      </c>
      <c r="C25" s="16" t="s">
        <v>120</v>
      </c>
      <c r="D25" s="16" t="s">
        <v>121</v>
      </c>
      <c r="E25" s="16">
        <v>0</v>
      </c>
      <c r="F25" s="16" t="s">
        <v>122</v>
      </c>
      <c r="G25" s="17">
        <f>76.48+47.47</f>
        <v>123.95</v>
      </c>
      <c r="H25" s="16"/>
      <c r="I25" s="26" t="s">
        <v>131</v>
      </c>
      <c r="J25" s="16">
        <v>97740296</v>
      </c>
      <c r="K25" s="18">
        <v>2</v>
      </c>
      <c r="L25" s="10"/>
      <c r="O25" s="172"/>
      <c r="P25" s="173"/>
      <c r="Q25" s="173"/>
      <c r="R25" s="173"/>
      <c r="S25" s="173"/>
      <c r="T25" s="173"/>
      <c r="U25" s="173"/>
      <c r="V25" s="173"/>
      <c r="W25" s="173"/>
      <c r="X25" s="173"/>
      <c r="Y25" s="173"/>
      <c r="Z25" s="173"/>
      <c r="AA25" s="173"/>
      <c r="AB25" s="174"/>
      <c r="AC25" s="175"/>
      <c r="AD25" s="176"/>
    </row>
    <row r="26" spans="1:30" x14ac:dyDescent="0.25">
      <c r="A26" s="27" t="s">
        <v>132</v>
      </c>
      <c r="B26" s="15">
        <v>42370</v>
      </c>
      <c r="C26" s="16" t="s">
        <v>124</v>
      </c>
      <c r="D26" s="16" t="s">
        <v>125</v>
      </c>
      <c r="E26" s="16">
        <f>E24</f>
        <v>872</v>
      </c>
      <c r="F26" s="16" t="s">
        <v>122</v>
      </c>
      <c r="G26" s="17">
        <v>2826.48</v>
      </c>
      <c r="H26" s="17">
        <f>G26/E26</f>
        <v>3.241376146788991</v>
      </c>
      <c r="I26" s="26" t="s">
        <v>131</v>
      </c>
      <c r="J26" s="16">
        <v>97740296</v>
      </c>
      <c r="K26" s="18">
        <v>2</v>
      </c>
      <c r="L26" s="10"/>
      <c r="W26" s="10"/>
    </row>
    <row r="27" spans="1:30" x14ac:dyDescent="0.25">
      <c r="A27" s="27" t="s">
        <v>132</v>
      </c>
      <c r="B27" s="15">
        <v>42370</v>
      </c>
      <c r="C27" s="16" t="s">
        <v>120</v>
      </c>
      <c r="D27" s="16" t="s">
        <v>121</v>
      </c>
      <c r="E27" s="16">
        <v>0</v>
      </c>
      <c r="F27" s="16" t="s">
        <v>122</v>
      </c>
      <c r="G27" s="17">
        <v>42</v>
      </c>
      <c r="H27" s="16"/>
      <c r="I27" s="26" t="s">
        <v>131</v>
      </c>
      <c r="J27" s="16">
        <v>42049278</v>
      </c>
      <c r="K27" s="18">
        <v>6</v>
      </c>
      <c r="L27" s="10"/>
      <c r="W27" s="10"/>
    </row>
    <row r="28" spans="1:30" x14ac:dyDescent="0.25">
      <c r="A28" s="27" t="s">
        <v>132</v>
      </c>
      <c r="B28" s="15">
        <v>42370</v>
      </c>
      <c r="C28" s="16" t="s">
        <v>120</v>
      </c>
      <c r="D28" s="16" t="s">
        <v>121</v>
      </c>
      <c r="E28" s="16">
        <v>0</v>
      </c>
      <c r="F28" s="16" t="s">
        <v>122</v>
      </c>
      <c r="G28" s="17">
        <v>28</v>
      </c>
      <c r="H28" s="16"/>
      <c r="I28" s="26" t="s">
        <v>131</v>
      </c>
      <c r="J28" s="16">
        <v>33250621</v>
      </c>
      <c r="K28" s="18">
        <v>4</v>
      </c>
      <c r="L28" s="10"/>
      <c r="W28" s="10"/>
    </row>
    <row r="29" spans="1:30" x14ac:dyDescent="0.25">
      <c r="A29" s="27" t="s">
        <v>132</v>
      </c>
      <c r="B29" s="15">
        <v>42401</v>
      </c>
      <c r="C29" s="16" t="s">
        <v>120</v>
      </c>
      <c r="D29" s="16" t="s">
        <v>121</v>
      </c>
      <c r="E29" s="16">
        <v>0</v>
      </c>
      <c r="F29" s="16" t="s">
        <v>122</v>
      </c>
      <c r="G29" s="17">
        <v>42</v>
      </c>
      <c r="H29" s="16"/>
      <c r="I29" s="26" t="s">
        <v>131</v>
      </c>
      <c r="J29" s="16">
        <v>97716254</v>
      </c>
      <c r="K29" s="18">
        <v>6</v>
      </c>
      <c r="L29" s="10"/>
      <c r="W29" s="10"/>
    </row>
    <row r="30" spans="1:30" x14ac:dyDescent="0.25">
      <c r="A30" s="27" t="s">
        <v>132</v>
      </c>
      <c r="B30" s="15">
        <v>42401</v>
      </c>
      <c r="C30" s="16" t="s">
        <v>120</v>
      </c>
      <c r="D30" s="16" t="s">
        <v>123</v>
      </c>
      <c r="E30" s="16">
        <v>290</v>
      </c>
      <c r="F30" s="16" t="s">
        <v>122</v>
      </c>
      <c r="G30" s="17">
        <f>E30*H30</f>
        <v>809.1</v>
      </c>
      <c r="H30" s="17">
        <v>2.79</v>
      </c>
      <c r="I30" s="26" t="s">
        <v>131</v>
      </c>
      <c r="J30" s="16">
        <v>8188860</v>
      </c>
      <c r="K30" s="18">
        <v>2</v>
      </c>
      <c r="L30" s="10"/>
      <c r="W30" s="10"/>
    </row>
    <row r="31" spans="1:30" x14ac:dyDescent="0.25">
      <c r="A31" s="27" t="s">
        <v>132</v>
      </c>
      <c r="B31" s="15">
        <v>42401</v>
      </c>
      <c r="C31" s="16" t="s">
        <v>120</v>
      </c>
      <c r="D31" s="16" t="s">
        <v>121</v>
      </c>
      <c r="E31" s="16">
        <v>0</v>
      </c>
      <c r="F31" s="16" t="s">
        <v>122</v>
      </c>
      <c r="G31" s="17">
        <f>76.48+47.47</f>
        <v>123.95</v>
      </c>
      <c r="H31" s="16"/>
      <c r="I31" s="26" t="s">
        <v>131</v>
      </c>
      <c r="J31" s="16">
        <v>8188860</v>
      </c>
      <c r="K31" s="18">
        <v>2</v>
      </c>
      <c r="L31" s="10"/>
      <c r="W31" s="10"/>
    </row>
    <row r="32" spans="1:30" x14ac:dyDescent="0.25">
      <c r="A32" s="27" t="s">
        <v>132</v>
      </c>
      <c r="B32" s="15">
        <v>42401</v>
      </c>
      <c r="C32" s="16" t="s">
        <v>124</v>
      </c>
      <c r="D32" s="16" t="s">
        <v>125</v>
      </c>
      <c r="E32" s="16">
        <f>E30</f>
        <v>290</v>
      </c>
      <c r="F32" s="16" t="s">
        <v>122</v>
      </c>
      <c r="G32" s="17">
        <v>987.36</v>
      </c>
      <c r="H32" s="17">
        <f>G32/E32</f>
        <v>3.404689655172414</v>
      </c>
      <c r="I32" s="26" t="s">
        <v>131</v>
      </c>
      <c r="J32" s="16">
        <v>8188860</v>
      </c>
      <c r="K32" s="18">
        <v>2</v>
      </c>
      <c r="L32" s="10"/>
      <c r="W32" s="10"/>
    </row>
    <row r="33" spans="1:23" x14ac:dyDescent="0.25">
      <c r="A33" s="27" t="s">
        <v>132</v>
      </c>
      <c r="B33" s="15">
        <v>42401</v>
      </c>
      <c r="C33" s="16" t="s">
        <v>120</v>
      </c>
      <c r="D33" s="16" t="s">
        <v>123</v>
      </c>
      <c r="E33" s="16">
        <v>284</v>
      </c>
      <c r="F33" s="16" t="s">
        <v>122</v>
      </c>
      <c r="G33" s="17">
        <f>E33*H33</f>
        <v>792.36</v>
      </c>
      <c r="H33" s="17">
        <v>2.79</v>
      </c>
      <c r="I33" s="26" t="s">
        <v>131</v>
      </c>
      <c r="J33" s="16">
        <v>13343489</v>
      </c>
      <c r="K33" s="18">
        <v>2</v>
      </c>
      <c r="L33" s="10"/>
      <c r="W33" s="10"/>
    </row>
    <row r="34" spans="1:23" x14ac:dyDescent="0.25">
      <c r="A34" s="27" t="s">
        <v>132</v>
      </c>
      <c r="B34" s="15">
        <v>42401</v>
      </c>
      <c r="C34" s="16" t="s">
        <v>120</v>
      </c>
      <c r="D34" s="16" t="s">
        <v>121</v>
      </c>
      <c r="E34" s="16">
        <v>0</v>
      </c>
      <c r="F34" s="16" t="s">
        <v>122</v>
      </c>
      <c r="G34" s="17">
        <f>76.48+47.47</f>
        <v>123.95</v>
      </c>
      <c r="H34" s="16"/>
      <c r="I34" s="26" t="s">
        <v>131</v>
      </c>
      <c r="J34" s="16">
        <v>13343489</v>
      </c>
      <c r="K34" s="18">
        <v>2</v>
      </c>
      <c r="L34" s="10"/>
      <c r="W34" s="10"/>
    </row>
    <row r="35" spans="1:23" x14ac:dyDescent="0.25">
      <c r="A35" s="27" t="s">
        <v>132</v>
      </c>
      <c r="B35" s="15">
        <v>42401</v>
      </c>
      <c r="C35" s="16" t="s">
        <v>124</v>
      </c>
      <c r="D35" s="16" t="s">
        <v>125</v>
      </c>
      <c r="E35" s="16">
        <f>E33</f>
        <v>284</v>
      </c>
      <c r="F35" s="16" t="s">
        <v>122</v>
      </c>
      <c r="G35" s="17">
        <v>968.4</v>
      </c>
      <c r="H35" s="17">
        <f>G35/E35</f>
        <v>3.4098591549295776</v>
      </c>
      <c r="I35" s="26" t="s">
        <v>131</v>
      </c>
      <c r="J35" s="16">
        <v>13343489</v>
      </c>
      <c r="K35" s="18">
        <v>2</v>
      </c>
      <c r="L35" s="10"/>
      <c r="W35" s="10"/>
    </row>
    <row r="36" spans="1:23" x14ac:dyDescent="0.25">
      <c r="A36" s="27" t="s">
        <v>132</v>
      </c>
      <c r="B36" s="15">
        <v>42401</v>
      </c>
      <c r="C36" s="16" t="s">
        <v>120</v>
      </c>
      <c r="D36" s="16" t="s">
        <v>123</v>
      </c>
      <c r="E36" s="16">
        <v>414</v>
      </c>
      <c r="F36" s="16" t="s">
        <v>122</v>
      </c>
      <c r="G36" s="17">
        <f>E36*H36</f>
        <v>1155.06</v>
      </c>
      <c r="H36" s="17">
        <v>2.79</v>
      </c>
      <c r="I36" s="26" t="s">
        <v>131</v>
      </c>
      <c r="J36" s="16">
        <v>16323417</v>
      </c>
      <c r="K36" s="18">
        <v>2</v>
      </c>
      <c r="L36" s="10"/>
      <c r="W36" s="10"/>
    </row>
    <row r="37" spans="1:23" x14ac:dyDescent="0.25">
      <c r="A37" s="27" t="s">
        <v>132</v>
      </c>
      <c r="B37" s="15">
        <v>42401</v>
      </c>
      <c r="C37" s="16" t="s">
        <v>120</v>
      </c>
      <c r="D37" s="16" t="s">
        <v>121</v>
      </c>
      <c r="E37" s="16">
        <v>0</v>
      </c>
      <c r="F37" s="16" t="s">
        <v>122</v>
      </c>
      <c r="G37" s="17">
        <f>76.48+47.47</f>
        <v>123.95</v>
      </c>
      <c r="H37" s="16"/>
      <c r="I37" s="26" t="s">
        <v>131</v>
      </c>
      <c r="J37" s="16">
        <v>16323417</v>
      </c>
      <c r="K37" s="18">
        <v>2</v>
      </c>
      <c r="L37" s="10"/>
      <c r="W37" s="10"/>
    </row>
    <row r="38" spans="1:23" x14ac:dyDescent="0.25">
      <c r="A38" s="27" t="s">
        <v>132</v>
      </c>
      <c r="B38" s="15">
        <v>42401</v>
      </c>
      <c r="C38" s="16" t="s">
        <v>124</v>
      </c>
      <c r="D38" s="16" t="s">
        <v>125</v>
      </c>
      <c r="E38" s="16">
        <f>E36</f>
        <v>414</v>
      </c>
      <c r="F38" s="16" t="s">
        <v>122</v>
      </c>
      <c r="G38" s="17">
        <v>1379.2</v>
      </c>
      <c r="H38" s="17">
        <f>G38/E38</f>
        <v>3.3314009661835748</v>
      </c>
      <c r="I38" s="26" t="s">
        <v>131</v>
      </c>
      <c r="J38" s="16">
        <v>16323417</v>
      </c>
      <c r="K38" s="18">
        <v>2</v>
      </c>
      <c r="L38" s="10"/>
      <c r="W38" s="10"/>
    </row>
    <row r="39" spans="1:23" x14ac:dyDescent="0.25">
      <c r="A39" s="27" t="s">
        <v>132</v>
      </c>
      <c r="B39" s="15">
        <v>42401</v>
      </c>
      <c r="C39" s="16" t="s">
        <v>120</v>
      </c>
      <c r="D39" s="16" t="s">
        <v>123</v>
      </c>
      <c r="E39" s="16">
        <v>390</v>
      </c>
      <c r="F39" s="16" t="s">
        <v>122</v>
      </c>
      <c r="G39" s="17">
        <f>E39*H39</f>
        <v>1088.0999999999999</v>
      </c>
      <c r="H39" s="17">
        <v>2.79</v>
      </c>
      <c r="I39" s="26" t="s">
        <v>131</v>
      </c>
      <c r="J39" s="16">
        <v>29798386</v>
      </c>
      <c r="K39" s="18">
        <v>2</v>
      </c>
      <c r="L39" s="10"/>
      <c r="W39" s="10"/>
    </row>
    <row r="40" spans="1:23" x14ac:dyDescent="0.25">
      <c r="A40" s="27" t="s">
        <v>132</v>
      </c>
      <c r="B40" s="15">
        <v>42401</v>
      </c>
      <c r="C40" s="16" t="s">
        <v>120</v>
      </c>
      <c r="D40" s="16" t="s">
        <v>121</v>
      </c>
      <c r="E40" s="16">
        <v>0</v>
      </c>
      <c r="F40" s="16" t="s">
        <v>122</v>
      </c>
      <c r="G40" s="17">
        <f>76.48+47.47</f>
        <v>123.95</v>
      </c>
      <c r="H40" s="16"/>
      <c r="I40" s="26" t="s">
        <v>131</v>
      </c>
      <c r="J40" s="16">
        <v>29798386</v>
      </c>
      <c r="K40" s="18">
        <v>2</v>
      </c>
      <c r="L40" s="10"/>
      <c r="W40" s="10"/>
    </row>
    <row r="41" spans="1:23" x14ac:dyDescent="0.25">
      <c r="A41" s="27" t="s">
        <v>132</v>
      </c>
      <c r="B41" s="15">
        <v>42401</v>
      </c>
      <c r="C41" s="16" t="s">
        <v>124</v>
      </c>
      <c r="D41" s="16" t="s">
        <v>125</v>
      </c>
      <c r="E41" s="16">
        <f>E39</f>
        <v>390</v>
      </c>
      <c r="F41" s="16" t="s">
        <v>122</v>
      </c>
      <c r="G41" s="17">
        <v>1303.3599999999999</v>
      </c>
      <c r="H41" s="17">
        <f>G41/E41</f>
        <v>3.3419487179487177</v>
      </c>
      <c r="I41" s="26" t="s">
        <v>131</v>
      </c>
      <c r="J41" s="16">
        <v>29798386</v>
      </c>
      <c r="K41" s="18">
        <v>2</v>
      </c>
      <c r="L41" s="10"/>
      <c r="W41" s="10"/>
    </row>
    <row r="42" spans="1:23" x14ac:dyDescent="0.25">
      <c r="A42" s="27" t="s">
        <v>132</v>
      </c>
      <c r="B42" s="15">
        <v>42401</v>
      </c>
      <c r="C42" s="16" t="s">
        <v>120</v>
      </c>
      <c r="D42" s="16" t="s">
        <v>123</v>
      </c>
      <c r="E42" s="16">
        <v>314</v>
      </c>
      <c r="F42" s="16" t="s">
        <v>122</v>
      </c>
      <c r="G42" s="17">
        <f>E42*H42</f>
        <v>876.06000000000006</v>
      </c>
      <c r="H42" s="17">
        <v>2.79</v>
      </c>
      <c r="I42" s="26" t="s">
        <v>131</v>
      </c>
      <c r="J42" s="16">
        <v>19086736</v>
      </c>
      <c r="K42" s="18">
        <v>2</v>
      </c>
      <c r="L42" s="10"/>
      <c r="W42" s="10"/>
    </row>
    <row r="43" spans="1:23" x14ac:dyDescent="0.25">
      <c r="A43" s="27" t="s">
        <v>132</v>
      </c>
      <c r="B43" s="15">
        <v>42401</v>
      </c>
      <c r="C43" s="16" t="s">
        <v>120</v>
      </c>
      <c r="D43" s="16" t="s">
        <v>121</v>
      </c>
      <c r="E43" s="16">
        <v>0</v>
      </c>
      <c r="F43" s="16" t="s">
        <v>122</v>
      </c>
      <c r="G43" s="17">
        <f>76.48+47.47</f>
        <v>123.95</v>
      </c>
      <c r="H43" s="16"/>
      <c r="I43" s="26" t="s">
        <v>131</v>
      </c>
      <c r="J43" s="16">
        <v>19086736</v>
      </c>
      <c r="K43" s="18">
        <v>2</v>
      </c>
      <c r="L43" s="10"/>
      <c r="W43" s="10"/>
    </row>
    <row r="44" spans="1:23" x14ac:dyDescent="0.25">
      <c r="A44" s="27" t="s">
        <v>132</v>
      </c>
      <c r="B44" s="15">
        <v>42401</v>
      </c>
      <c r="C44" s="16" t="s">
        <v>124</v>
      </c>
      <c r="D44" s="16" t="s">
        <v>125</v>
      </c>
      <c r="E44" s="16">
        <f>E42</f>
        <v>314</v>
      </c>
      <c r="F44" s="16" t="s">
        <v>122</v>
      </c>
      <c r="G44" s="17">
        <v>1063.2</v>
      </c>
      <c r="H44" s="17">
        <f>G44/E44</f>
        <v>3.385987261146497</v>
      </c>
      <c r="I44" s="26" t="s">
        <v>131</v>
      </c>
      <c r="J44" s="16">
        <v>19086736</v>
      </c>
      <c r="K44" s="18">
        <v>2</v>
      </c>
      <c r="L44" s="10"/>
      <c r="W44" s="10"/>
    </row>
    <row r="45" spans="1:23" x14ac:dyDescent="0.25">
      <c r="A45" s="27" t="s">
        <v>132</v>
      </c>
      <c r="B45" s="15">
        <v>42401</v>
      </c>
      <c r="C45" s="16" t="s">
        <v>120</v>
      </c>
      <c r="D45" s="16" t="s">
        <v>123</v>
      </c>
      <c r="E45" s="16">
        <v>610</v>
      </c>
      <c r="F45" s="16" t="s">
        <v>122</v>
      </c>
      <c r="G45" s="17">
        <f>E45*H45</f>
        <v>1701.9</v>
      </c>
      <c r="H45" s="17">
        <v>2.79</v>
      </c>
      <c r="I45" s="26" t="s">
        <v>131</v>
      </c>
      <c r="J45" s="16">
        <v>19086744</v>
      </c>
      <c r="K45" s="18">
        <v>2</v>
      </c>
      <c r="L45" s="10"/>
      <c r="W45" s="10"/>
    </row>
    <row r="46" spans="1:23" x14ac:dyDescent="0.25">
      <c r="A46" s="27" t="s">
        <v>132</v>
      </c>
      <c r="B46" s="15">
        <v>42401</v>
      </c>
      <c r="C46" s="16" t="s">
        <v>120</v>
      </c>
      <c r="D46" s="16" t="s">
        <v>121</v>
      </c>
      <c r="E46" s="16">
        <v>0</v>
      </c>
      <c r="F46" s="16" t="s">
        <v>122</v>
      </c>
      <c r="G46" s="17">
        <f>76.48+47.47</f>
        <v>123.95</v>
      </c>
      <c r="H46" s="16"/>
      <c r="I46" s="26" t="s">
        <v>131</v>
      </c>
      <c r="J46" s="16">
        <v>19086744</v>
      </c>
      <c r="K46" s="18">
        <v>2</v>
      </c>
      <c r="L46" s="10"/>
      <c r="W46" s="10"/>
    </row>
    <row r="47" spans="1:23" x14ac:dyDescent="0.25">
      <c r="A47" s="27" t="s">
        <v>132</v>
      </c>
      <c r="B47" s="15">
        <v>42401</v>
      </c>
      <c r="C47" s="16" t="s">
        <v>124</v>
      </c>
      <c r="D47" s="16" t="s">
        <v>125</v>
      </c>
      <c r="E47" s="16">
        <f>E45</f>
        <v>610</v>
      </c>
      <c r="F47" s="16" t="s">
        <v>122</v>
      </c>
      <c r="G47" s="17">
        <v>1998.56</v>
      </c>
      <c r="H47" s="17">
        <f>G47/E47</f>
        <v>3.2763278688524591</v>
      </c>
      <c r="I47" s="26" t="s">
        <v>131</v>
      </c>
      <c r="J47" s="16">
        <v>19086744</v>
      </c>
      <c r="K47" s="18">
        <v>2</v>
      </c>
      <c r="L47" s="10"/>
      <c r="W47" s="10"/>
    </row>
    <row r="48" spans="1:23" x14ac:dyDescent="0.25">
      <c r="A48" s="27" t="s">
        <v>132</v>
      </c>
      <c r="B48" s="15">
        <v>42401</v>
      </c>
      <c r="C48" s="16" t="s">
        <v>120</v>
      </c>
      <c r="D48" s="16" t="s">
        <v>123</v>
      </c>
      <c r="E48" s="16">
        <v>871</v>
      </c>
      <c r="F48" s="16" t="s">
        <v>122</v>
      </c>
      <c r="G48" s="17">
        <f>E48*H48</f>
        <v>2430.09</v>
      </c>
      <c r="H48" s="17">
        <v>2.79</v>
      </c>
      <c r="I48" s="26" t="s">
        <v>131</v>
      </c>
      <c r="J48" s="16">
        <v>98520296</v>
      </c>
      <c r="K48" s="18">
        <v>2</v>
      </c>
      <c r="L48" s="10"/>
      <c r="W48" s="10"/>
    </row>
    <row r="49" spans="1:23" x14ac:dyDescent="0.25">
      <c r="A49" s="27" t="s">
        <v>132</v>
      </c>
      <c r="B49" s="15">
        <v>42401</v>
      </c>
      <c r="C49" s="16" t="s">
        <v>120</v>
      </c>
      <c r="D49" s="16" t="s">
        <v>121</v>
      </c>
      <c r="E49" s="16">
        <v>0</v>
      </c>
      <c r="F49" s="16" t="s">
        <v>122</v>
      </c>
      <c r="G49" s="17">
        <f>76.48+47.47</f>
        <v>123.95</v>
      </c>
      <c r="H49" s="16"/>
      <c r="I49" s="26" t="s">
        <v>131</v>
      </c>
      <c r="J49" s="16">
        <v>98520296</v>
      </c>
      <c r="K49" s="18">
        <v>2</v>
      </c>
      <c r="L49" s="10"/>
      <c r="W49" s="10"/>
    </row>
    <row r="50" spans="1:23" x14ac:dyDescent="0.25">
      <c r="A50" s="27" t="s">
        <v>132</v>
      </c>
      <c r="B50" s="15">
        <v>42401</v>
      </c>
      <c r="C50" s="16" t="s">
        <v>124</v>
      </c>
      <c r="D50" s="16" t="s">
        <v>125</v>
      </c>
      <c r="E50" s="16">
        <f>E48</f>
        <v>871</v>
      </c>
      <c r="F50" s="16" t="s">
        <v>122</v>
      </c>
      <c r="G50" s="17">
        <v>2823.32</v>
      </c>
      <c r="H50" s="17">
        <f>G50/E50</f>
        <v>3.2414695752009188</v>
      </c>
      <c r="I50" s="26" t="s">
        <v>131</v>
      </c>
      <c r="J50" s="16">
        <v>98520296</v>
      </c>
      <c r="K50" s="18">
        <v>2</v>
      </c>
      <c r="L50" s="10"/>
      <c r="W50" s="10"/>
    </row>
    <row r="51" spans="1:23" x14ac:dyDescent="0.25">
      <c r="A51" s="27" t="s">
        <v>132</v>
      </c>
      <c r="B51" s="15">
        <v>42401</v>
      </c>
      <c r="C51" s="16" t="s">
        <v>120</v>
      </c>
      <c r="D51" s="16" t="s">
        <v>123</v>
      </c>
      <c r="E51" s="16">
        <v>917</v>
      </c>
      <c r="F51" s="16" t="s">
        <v>122</v>
      </c>
      <c r="G51" s="17">
        <f>E51*H51</f>
        <v>2558.4299999999998</v>
      </c>
      <c r="H51" s="17">
        <v>2.79</v>
      </c>
      <c r="I51" s="26" t="s">
        <v>131</v>
      </c>
      <c r="J51" s="16">
        <v>97740296</v>
      </c>
      <c r="K51" s="18">
        <v>2</v>
      </c>
      <c r="L51" s="10"/>
      <c r="W51" s="10"/>
    </row>
    <row r="52" spans="1:23" x14ac:dyDescent="0.25">
      <c r="A52" s="27" t="s">
        <v>132</v>
      </c>
      <c r="B52" s="15">
        <v>42401</v>
      </c>
      <c r="C52" s="16" t="s">
        <v>120</v>
      </c>
      <c r="D52" s="16" t="s">
        <v>121</v>
      </c>
      <c r="E52" s="16">
        <v>0</v>
      </c>
      <c r="F52" s="16" t="s">
        <v>122</v>
      </c>
      <c r="G52" s="17">
        <f>76.48+47.47</f>
        <v>123.95</v>
      </c>
      <c r="H52" s="16"/>
      <c r="I52" s="26" t="s">
        <v>131</v>
      </c>
      <c r="J52" s="16">
        <v>97740296</v>
      </c>
      <c r="K52" s="18">
        <v>2</v>
      </c>
      <c r="L52" s="10"/>
      <c r="W52" s="10"/>
    </row>
    <row r="53" spans="1:23" x14ac:dyDescent="0.25">
      <c r="A53" s="27" t="s">
        <v>132</v>
      </c>
      <c r="B53" s="15">
        <v>42401</v>
      </c>
      <c r="C53" s="16" t="s">
        <v>124</v>
      </c>
      <c r="D53" s="16" t="s">
        <v>125</v>
      </c>
      <c r="E53" s="16">
        <f>E51</f>
        <v>917</v>
      </c>
      <c r="F53" s="16" t="s">
        <v>122</v>
      </c>
      <c r="G53" s="17">
        <v>2968.68</v>
      </c>
      <c r="H53" s="17">
        <f>G53/E53</f>
        <v>3.2373827699018536</v>
      </c>
      <c r="I53" s="26" t="s">
        <v>131</v>
      </c>
      <c r="J53" s="16">
        <v>97740296</v>
      </c>
      <c r="K53" s="18">
        <v>2</v>
      </c>
      <c r="L53" s="10"/>
      <c r="W53" s="10"/>
    </row>
    <row r="54" spans="1:23" x14ac:dyDescent="0.25">
      <c r="A54" s="27" t="s">
        <v>132</v>
      </c>
      <c r="B54" s="15">
        <v>42401</v>
      </c>
      <c r="C54" s="16" t="s">
        <v>120</v>
      </c>
      <c r="D54" s="16" t="s">
        <v>121</v>
      </c>
      <c r="E54" s="16">
        <v>0</v>
      </c>
      <c r="F54" s="16" t="s">
        <v>122</v>
      </c>
      <c r="G54" s="17">
        <v>42</v>
      </c>
      <c r="H54" s="16"/>
      <c r="I54" s="26" t="s">
        <v>131</v>
      </c>
      <c r="J54" s="16">
        <v>42049278</v>
      </c>
      <c r="K54" s="18">
        <v>6</v>
      </c>
      <c r="L54" s="10"/>
      <c r="W54" s="10"/>
    </row>
    <row r="55" spans="1:23" x14ac:dyDescent="0.25">
      <c r="A55" s="27" t="s">
        <v>132</v>
      </c>
      <c r="B55" s="15">
        <v>42401</v>
      </c>
      <c r="C55" s="16" t="s">
        <v>120</v>
      </c>
      <c r="D55" s="16" t="s">
        <v>121</v>
      </c>
      <c r="E55" s="16">
        <v>0</v>
      </c>
      <c r="F55" s="16" t="s">
        <v>122</v>
      </c>
      <c r="G55" s="17">
        <v>28</v>
      </c>
      <c r="H55" s="16"/>
      <c r="I55" s="26" t="s">
        <v>131</v>
      </c>
      <c r="J55" s="16">
        <v>33250621</v>
      </c>
      <c r="K55" s="18">
        <v>4</v>
      </c>
      <c r="L55" s="10"/>
      <c r="W55" s="10"/>
    </row>
    <row r="56" spans="1:23" x14ac:dyDescent="0.25">
      <c r="A56" s="27" t="s">
        <v>132</v>
      </c>
      <c r="B56" s="15">
        <v>42430</v>
      </c>
      <c r="C56" s="16" t="s">
        <v>120</v>
      </c>
      <c r="D56" s="16" t="s">
        <v>121</v>
      </c>
      <c r="E56" s="16">
        <v>0</v>
      </c>
      <c r="F56" s="16" t="s">
        <v>122</v>
      </c>
      <c r="G56" s="17">
        <v>42</v>
      </c>
      <c r="H56" s="16"/>
      <c r="I56" s="26" t="s">
        <v>131</v>
      </c>
      <c r="J56" s="16">
        <v>97716254</v>
      </c>
      <c r="K56" s="18">
        <v>6</v>
      </c>
      <c r="L56" s="10"/>
      <c r="W56" s="10"/>
    </row>
    <row r="57" spans="1:23" x14ac:dyDescent="0.25">
      <c r="A57" s="27" t="s">
        <v>132</v>
      </c>
      <c r="B57" s="15">
        <v>42430</v>
      </c>
      <c r="C57" s="16" t="s">
        <v>120</v>
      </c>
      <c r="D57" s="16" t="s">
        <v>123</v>
      </c>
      <c r="E57" s="16">
        <v>295</v>
      </c>
      <c r="F57" s="16" t="s">
        <v>122</v>
      </c>
      <c r="G57" s="17">
        <f>E57*H57</f>
        <v>823.05</v>
      </c>
      <c r="H57" s="17">
        <v>2.79</v>
      </c>
      <c r="I57" s="26" t="s">
        <v>131</v>
      </c>
      <c r="J57" s="16">
        <v>8188860</v>
      </c>
      <c r="K57" s="18">
        <v>2</v>
      </c>
      <c r="L57" s="10"/>
      <c r="W57" s="10"/>
    </row>
    <row r="58" spans="1:23" x14ac:dyDescent="0.25">
      <c r="A58" s="27" t="s">
        <v>132</v>
      </c>
      <c r="B58" s="15">
        <v>42430</v>
      </c>
      <c r="C58" s="16" t="s">
        <v>120</v>
      </c>
      <c r="D58" s="16" t="s">
        <v>121</v>
      </c>
      <c r="E58" s="16">
        <v>0</v>
      </c>
      <c r="F58" s="16" t="s">
        <v>122</v>
      </c>
      <c r="G58" s="17">
        <f>76.48+47.47</f>
        <v>123.95</v>
      </c>
      <c r="H58" s="16"/>
      <c r="I58" s="26" t="s">
        <v>131</v>
      </c>
      <c r="J58" s="16">
        <v>8188860</v>
      </c>
      <c r="K58" s="18">
        <v>2</v>
      </c>
      <c r="L58" s="10"/>
      <c r="W58" s="10"/>
    </row>
    <row r="59" spans="1:23" x14ac:dyDescent="0.25">
      <c r="A59" s="27" t="s">
        <v>132</v>
      </c>
      <c r="B59" s="15">
        <v>42430</v>
      </c>
      <c r="C59" s="16" t="s">
        <v>124</v>
      </c>
      <c r="D59" s="16" t="s">
        <v>125</v>
      </c>
      <c r="E59" s="16">
        <f>E57</f>
        <v>295</v>
      </c>
      <c r="F59" s="16" t="s">
        <v>122</v>
      </c>
      <c r="G59" s="17">
        <v>1003.16</v>
      </c>
      <c r="H59" s="17">
        <f>G59/E59</f>
        <v>3.4005423728813557</v>
      </c>
      <c r="I59" s="26" t="s">
        <v>131</v>
      </c>
      <c r="J59" s="16">
        <v>8188860</v>
      </c>
      <c r="K59" s="18">
        <v>2</v>
      </c>
      <c r="L59" s="10"/>
      <c r="W59" s="10"/>
    </row>
    <row r="60" spans="1:23" x14ac:dyDescent="0.25">
      <c r="A60" s="27" t="s">
        <v>132</v>
      </c>
      <c r="B60" s="15">
        <v>42430</v>
      </c>
      <c r="C60" s="16" t="s">
        <v>120</v>
      </c>
      <c r="D60" s="16" t="s">
        <v>123</v>
      </c>
      <c r="E60" s="16">
        <v>290</v>
      </c>
      <c r="F60" s="16" t="s">
        <v>122</v>
      </c>
      <c r="G60" s="17">
        <f>E60*H60</f>
        <v>809.1</v>
      </c>
      <c r="H60" s="17">
        <v>2.79</v>
      </c>
      <c r="I60" s="26" t="s">
        <v>131</v>
      </c>
      <c r="J60" s="16">
        <v>13343489</v>
      </c>
      <c r="K60" s="18">
        <v>2</v>
      </c>
      <c r="L60" s="10"/>
      <c r="W60" s="10"/>
    </row>
    <row r="61" spans="1:23" x14ac:dyDescent="0.25">
      <c r="A61" s="27" t="s">
        <v>132</v>
      </c>
      <c r="B61" s="15">
        <v>42430</v>
      </c>
      <c r="C61" s="16" t="s">
        <v>120</v>
      </c>
      <c r="D61" s="16" t="s">
        <v>121</v>
      </c>
      <c r="E61" s="16">
        <v>0</v>
      </c>
      <c r="F61" s="16" t="s">
        <v>122</v>
      </c>
      <c r="G61" s="17">
        <f>76.48+47.47</f>
        <v>123.95</v>
      </c>
      <c r="H61" s="16"/>
      <c r="I61" s="26" t="s">
        <v>131</v>
      </c>
      <c r="J61" s="16">
        <v>13343489</v>
      </c>
      <c r="K61" s="18">
        <v>2</v>
      </c>
      <c r="L61" s="10"/>
      <c r="W61" s="10"/>
    </row>
    <row r="62" spans="1:23" x14ac:dyDescent="0.25">
      <c r="A62" s="27" t="s">
        <v>132</v>
      </c>
      <c r="B62" s="15">
        <v>42430</v>
      </c>
      <c r="C62" s="16" t="s">
        <v>124</v>
      </c>
      <c r="D62" s="16" t="s">
        <v>125</v>
      </c>
      <c r="E62" s="16">
        <f>E60</f>
        <v>290</v>
      </c>
      <c r="F62" s="16" t="s">
        <v>122</v>
      </c>
      <c r="G62" s="17">
        <v>987.36</v>
      </c>
      <c r="H62" s="17">
        <f>G62/E62</f>
        <v>3.404689655172414</v>
      </c>
      <c r="I62" s="26" t="s">
        <v>131</v>
      </c>
      <c r="J62" s="16">
        <v>13343489</v>
      </c>
      <c r="K62" s="18">
        <v>2</v>
      </c>
      <c r="L62" s="10"/>
      <c r="W62" s="10"/>
    </row>
    <row r="63" spans="1:23" x14ac:dyDescent="0.25">
      <c r="A63" s="27" t="s">
        <v>132</v>
      </c>
      <c r="B63" s="15">
        <v>42430</v>
      </c>
      <c r="C63" s="16" t="s">
        <v>120</v>
      </c>
      <c r="D63" s="16" t="s">
        <v>123</v>
      </c>
      <c r="E63" s="16">
        <v>432</v>
      </c>
      <c r="F63" s="16" t="s">
        <v>122</v>
      </c>
      <c r="G63" s="17">
        <f>E63*H63</f>
        <v>1205.28</v>
      </c>
      <c r="H63" s="17">
        <v>2.79</v>
      </c>
      <c r="I63" s="26" t="s">
        <v>131</v>
      </c>
      <c r="J63" s="16">
        <v>16323417</v>
      </c>
      <c r="K63" s="18">
        <v>2</v>
      </c>
      <c r="L63" s="10"/>
      <c r="W63" s="10"/>
    </row>
    <row r="64" spans="1:23" x14ac:dyDescent="0.25">
      <c r="A64" s="27" t="s">
        <v>132</v>
      </c>
      <c r="B64" s="15">
        <v>42430</v>
      </c>
      <c r="C64" s="16" t="s">
        <v>120</v>
      </c>
      <c r="D64" s="16" t="s">
        <v>121</v>
      </c>
      <c r="E64" s="16">
        <v>0</v>
      </c>
      <c r="F64" s="16" t="s">
        <v>122</v>
      </c>
      <c r="G64" s="17">
        <f>76.48+47.47</f>
        <v>123.95</v>
      </c>
      <c r="H64" s="16"/>
      <c r="I64" s="26" t="s">
        <v>131</v>
      </c>
      <c r="J64" s="16">
        <v>16323417</v>
      </c>
      <c r="K64" s="18">
        <v>2</v>
      </c>
      <c r="L64" s="10"/>
      <c r="W64" s="10"/>
    </row>
    <row r="65" spans="1:23" x14ac:dyDescent="0.25">
      <c r="A65" s="27" t="s">
        <v>132</v>
      </c>
      <c r="B65" s="15">
        <v>42430</v>
      </c>
      <c r="C65" s="16" t="s">
        <v>124</v>
      </c>
      <c r="D65" s="16" t="s">
        <v>125</v>
      </c>
      <c r="E65" s="16">
        <f>E63</f>
        <v>432</v>
      </c>
      <c r="F65" s="16" t="s">
        <v>122</v>
      </c>
      <c r="G65" s="17">
        <v>1436.08</v>
      </c>
      <c r="H65" s="17">
        <f>G65/E65</f>
        <v>3.324259259259259</v>
      </c>
      <c r="I65" s="26" t="s">
        <v>131</v>
      </c>
      <c r="J65" s="16">
        <v>16323417</v>
      </c>
      <c r="K65" s="18">
        <v>2</v>
      </c>
      <c r="L65" s="10"/>
      <c r="W65" s="10"/>
    </row>
    <row r="66" spans="1:23" x14ac:dyDescent="0.25">
      <c r="A66" s="27" t="s">
        <v>132</v>
      </c>
      <c r="B66" s="15">
        <v>42430</v>
      </c>
      <c r="C66" s="16" t="s">
        <v>120</v>
      </c>
      <c r="D66" s="16" t="s">
        <v>123</v>
      </c>
      <c r="E66" s="16">
        <v>383</v>
      </c>
      <c r="F66" s="16" t="s">
        <v>122</v>
      </c>
      <c r="G66" s="17">
        <f>E66*H66</f>
        <v>1068.57</v>
      </c>
      <c r="H66" s="17">
        <v>2.79</v>
      </c>
      <c r="I66" s="26" t="s">
        <v>131</v>
      </c>
      <c r="J66" s="16">
        <v>29798386</v>
      </c>
      <c r="K66" s="18">
        <v>2</v>
      </c>
      <c r="L66" s="10"/>
      <c r="W66" s="10"/>
    </row>
    <row r="67" spans="1:23" x14ac:dyDescent="0.25">
      <c r="A67" s="27" t="s">
        <v>132</v>
      </c>
      <c r="B67" s="15">
        <v>42430</v>
      </c>
      <c r="C67" s="16" t="s">
        <v>120</v>
      </c>
      <c r="D67" s="16" t="s">
        <v>121</v>
      </c>
      <c r="E67" s="16">
        <v>0</v>
      </c>
      <c r="F67" s="16" t="s">
        <v>122</v>
      </c>
      <c r="G67" s="17">
        <f>76.48+47.47</f>
        <v>123.95</v>
      </c>
      <c r="H67" s="16"/>
      <c r="I67" s="26" t="s">
        <v>131</v>
      </c>
      <c r="J67" s="16">
        <v>29798386</v>
      </c>
      <c r="K67" s="18">
        <v>2</v>
      </c>
      <c r="L67" s="10"/>
      <c r="W67" s="10"/>
    </row>
    <row r="68" spans="1:23" x14ac:dyDescent="0.25">
      <c r="A68" s="27" t="s">
        <v>132</v>
      </c>
      <c r="B68" s="15">
        <v>42430</v>
      </c>
      <c r="C68" s="16" t="s">
        <v>124</v>
      </c>
      <c r="D68" s="16" t="s">
        <v>125</v>
      </c>
      <c r="E68" s="16">
        <f>E66</f>
        <v>383</v>
      </c>
      <c r="F68" s="16" t="s">
        <v>122</v>
      </c>
      <c r="G68" s="17">
        <v>1281.24</v>
      </c>
      <c r="H68" s="17">
        <f>G68/E68</f>
        <v>3.3452741514360316</v>
      </c>
      <c r="I68" s="26" t="s">
        <v>131</v>
      </c>
      <c r="J68" s="16">
        <v>29798386</v>
      </c>
      <c r="K68" s="18">
        <v>2</v>
      </c>
      <c r="L68" s="10"/>
      <c r="W68" s="10"/>
    </row>
    <row r="69" spans="1:23" x14ac:dyDescent="0.25">
      <c r="A69" s="27" t="s">
        <v>132</v>
      </c>
      <c r="B69" s="15">
        <v>42430</v>
      </c>
      <c r="C69" s="16" t="s">
        <v>120</v>
      </c>
      <c r="D69" s="16" t="s">
        <v>123</v>
      </c>
      <c r="E69" s="16">
        <v>395</v>
      </c>
      <c r="F69" s="16" t="s">
        <v>122</v>
      </c>
      <c r="G69" s="17">
        <f>E69*H69</f>
        <v>1102.05</v>
      </c>
      <c r="H69" s="17">
        <v>2.79</v>
      </c>
      <c r="I69" s="26" t="s">
        <v>131</v>
      </c>
      <c r="J69" s="16">
        <v>19086736</v>
      </c>
      <c r="K69" s="18">
        <v>2</v>
      </c>
      <c r="L69" s="10"/>
      <c r="W69" s="10"/>
    </row>
    <row r="70" spans="1:23" x14ac:dyDescent="0.25">
      <c r="A70" s="27" t="s">
        <v>132</v>
      </c>
      <c r="B70" s="15">
        <v>42430</v>
      </c>
      <c r="C70" s="16" t="s">
        <v>120</v>
      </c>
      <c r="D70" s="16" t="s">
        <v>121</v>
      </c>
      <c r="E70" s="16">
        <v>0</v>
      </c>
      <c r="F70" s="16" t="s">
        <v>122</v>
      </c>
      <c r="G70" s="17">
        <f>76.48+47.47</f>
        <v>123.95</v>
      </c>
      <c r="H70" s="16"/>
      <c r="I70" s="26" t="s">
        <v>131</v>
      </c>
      <c r="J70" s="16">
        <v>19086736</v>
      </c>
      <c r="K70" s="18">
        <v>2</v>
      </c>
      <c r="L70" s="10"/>
      <c r="W70" s="10"/>
    </row>
    <row r="71" spans="1:23" x14ac:dyDescent="0.25">
      <c r="A71" s="27" t="s">
        <v>132</v>
      </c>
      <c r="B71" s="15">
        <v>42430</v>
      </c>
      <c r="C71" s="16" t="s">
        <v>124</v>
      </c>
      <c r="D71" s="16" t="s">
        <v>125</v>
      </c>
      <c r="E71" s="16">
        <f>E69</f>
        <v>395</v>
      </c>
      <c r="F71" s="16" t="s">
        <v>122</v>
      </c>
      <c r="G71" s="17">
        <v>1319.16</v>
      </c>
      <c r="H71" s="17">
        <f>G71/E71</f>
        <v>3.3396455696202532</v>
      </c>
      <c r="I71" s="26" t="s">
        <v>131</v>
      </c>
      <c r="J71" s="16">
        <v>19086736</v>
      </c>
      <c r="K71" s="18">
        <v>2</v>
      </c>
      <c r="L71" s="10"/>
      <c r="W71" s="10"/>
    </row>
    <row r="72" spans="1:23" x14ac:dyDescent="0.25">
      <c r="A72" s="27" t="s">
        <v>132</v>
      </c>
      <c r="B72" s="15">
        <v>42430</v>
      </c>
      <c r="C72" s="16" t="s">
        <v>120</v>
      </c>
      <c r="D72" s="16" t="s">
        <v>123</v>
      </c>
      <c r="E72" s="16">
        <v>699</v>
      </c>
      <c r="F72" s="16" t="s">
        <v>122</v>
      </c>
      <c r="G72" s="17">
        <f>E72*H72</f>
        <v>1950.21</v>
      </c>
      <c r="H72" s="17">
        <v>2.79</v>
      </c>
      <c r="I72" s="26" t="s">
        <v>131</v>
      </c>
      <c r="J72" s="16">
        <v>19086744</v>
      </c>
      <c r="K72" s="18">
        <v>2</v>
      </c>
      <c r="L72" s="10"/>
      <c r="W72" s="10"/>
    </row>
    <row r="73" spans="1:23" x14ac:dyDescent="0.25">
      <c r="A73" s="27" t="s">
        <v>132</v>
      </c>
      <c r="B73" s="15">
        <v>42430</v>
      </c>
      <c r="C73" s="16" t="s">
        <v>120</v>
      </c>
      <c r="D73" s="16" t="s">
        <v>121</v>
      </c>
      <c r="E73" s="16">
        <v>0</v>
      </c>
      <c r="F73" s="16" t="s">
        <v>122</v>
      </c>
      <c r="G73" s="17">
        <f>76.48+47.47</f>
        <v>123.95</v>
      </c>
      <c r="H73" s="16"/>
      <c r="I73" s="26" t="s">
        <v>131</v>
      </c>
      <c r="J73" s="16">
        <v>19086744</v>
      </c>
      <c r="K73" s="18">
        <v>2</v>
      </c>
      <c r="L73" s="10"/>
      <c r="W73" s="10"/>
    </row>
    <row r="74" spans="1:23" x14ac:dyDescent="0.25">
      <c r="A74" s="27" t="s">
        <v>132</v>
      </c>
      <c r="B74" s="15">
        <v>42430</v>
      </c>
      <c r="C74" s="16" t="s">
        <v>124</v>
      </c>
      <c r="D74" s="16" t="s">
        <v>125</v>
      </c>
      <c r="E74" s="16">
        <f>E72</f>
        <v>699</v>
      </c>
      <c r="F74" s="16" t="s">
        <v>122</v>
      </c>
      <c r="G74" s="17">
        <v>2279.8000000000002</v>
      </c>
      <c r="H74" s="17">
        <f>G74/E74</f>
        <v>3.2615164520743924</v>
      </c>
      <c r="I74" s="26" t="s">
        <v>131</v>
      </c>
      <c r="J74" s="16">
        <v>19086744</v>
      </c>
      <c r="K74" s="18">
        <v>2</v>
      </c>
      <c r="L74" s="10"/>
      <c r="W74" s="10"/>
    </row>
    <row r="75" spans="1:23" x14ac:dyDescent="0.25">
      <c r="A75" s="27" t="s">
        <v>132</v>
      </c>
      <c r="B75" s="15">
        <v>42430</v>
      </c>
      <c r="C75" s="16" t="s">
        <v>120</v>
      </c>
      <c r="D75" s="16" t="s">
        <v>123</v>
      </c>
      <c r="E75" s="16">
        <v>988</v>
      </c>
      <c r="F75" s="16" t="s">
        <v>122</v>
      </c>
      <c r="G75" s="17">
        <f>E75*H75</f>
        <v>2756.52</v>
      </c>
      <c r="H75" s="17">
        <v>2.79</v>
      </c>
      <c r="I75" s="26" t="s">
        <v>131</v>
      </c>
      <c r="J75" s="16">
        <v>98520296</v>
      </c>
      <c r="K75" s="18">
        <v>2</v>
      </c>
      <c r="L75" s="10"/>
      <c r="W75" s="10"/>
    </row>
    <row r="76" spans="1:23" x14ac:dyDescent="0.25">
      <c r="A76" s="27" t="s">
        <v>132</v>
      </c>
      <c r="B76" s="15">
        <v>42430</v>
      </c>
      <c r="C76" s="16" t="s">
        <v>120</v>
      </c>
      <c r="D76" s="16" t="s">
        <v>121</v>
      </c>
      <c r="E76" s="16">
        <v>0</v>
      </c>
      <c r="F76" s="16" t="s">
        <v>122</v>
      </c>
      <c r="G76" s="17">
        <f>76.48+47.47</f>
        <v>123.95</v>
      </c>
      <c r="H76" s="16"/>
      <c r="I76" s="26" t="s">
        <v>131</v>
      </c>
      <c r="J76" s="16">
        <v>98520296</v>
      </c>
      <c r="K76" s="18">
        <v>2</v>
      </c>
      <c r="L76" s="10"/>
      <c r="W76" s="10"/>
    </row>
    <row r="77" spans="1:23" x14ac:dyDescent="0.25">
      <c r="A77" s="27" t="s">
        <v>132</v>
      </c>
      <c r="B77" s="15">
        <v>42430</v>
      </c>
      <c r="C77" s="16" t="s">
        <v>124</v>
      </c>
      <c r="D77" s="16" t="s">
        <v>125</v>
      </c>
      <c r="E77" s="16">
        <f>E75</f>
        <v>988</v>
      </c>
      <c r="F77" s="16" t="s">
        <v>122</v>
      </c>
      <c r="G77" s="17">
        <v>3193.04</v>
      </c>
      <c r="H77" s="17">
        <f>G77/E77</f>
        <v>3.2318218623481783</v>
      </c>
      <c r="I77" s="26" t="s">
        <v>131</v>
      </c>
      <c r="J77" s="16">
        <v>98520296</v>
      </c>
      <c r="K77" s="18">
        <v>2</v>
      </c>
      <c r="L77" s="10"/>
      <c r="W77" s="10"/>
    </row>
    <row r="78" spans="1:23" x14ac:dyDescent="0.25">
      <c r="A78" s="27" t="s">
        <v>132</v>
      </c>
      <c r="B78" s="15">
        <v>42430</v>
      </c>
      <c r="C78" s="16" t="s">
        <v>120</v>
      </c>
      <c r="D78" s="16" t="s">
        <v>123</v>
      </c>
      <c r="E78" s="16">
        <v>889</v>
      </c>
      <c r="F78" s="16" t="s">
        <v>122</v>
      </c>
      <c r="G78" s="17">
        <f>E78*H78</f>
        <v>2480.31</v>
      </c>
      <c r="H78" s="17">
        <v>2.79</v>
      </c>
      <c r="I78" s="26" t="s">
        <v>131</v>
      </c>
      <c r="J78" s="16">
        <v>97740296</v>
      </c>
      <c r="K78" s="18">
        <v>2</v>
      </c>
      <c r="L78" s="10"/>
      <c r="W78" s="10"/>
    </row>
    <row r="79" spans="1:23" x14ac:dyDescent="0.25">
      <c r="A79" s="27" t="s">
        <v>132</v>
      </c>
      <c r="B79" s="15">
        <v>42430</v>
      </c>
      <c r="C79" s="16" t="s">
        <v>120</v>
      </c>
      <c r="D79" s="16" t="s">
        <v>121</v>
      </c>
      <c r="E79" s="16">
        <v>0</v>
      </c>
      <c r="F79" s="16" t="s">
        <v>122</v>
      </c>
      <c r="G79" s="17">
        <f>76.48+47.47</f>
        <v>123.95</v>
      </c>
      <c r="H79" s="16"/>
      <c r="I79" s="26" t="s">
        <v>131</v>
      </c>
      <c r="J79" s="16">
        <v>97740296</v>
      </c>
      <c r="K79" s="18">
        <v>2</v>
      </c>
      <c r="L79" s="10"/>
      <c r="W79" s="10"/>
    </row>
    <row r="80" spans="1:23" x14ac:dyDescent="0.25">
      <c r="A80" s="27" t="s">
        <v>132</v>
      </c>
      <c r="B80" s="15">
        <v>42430</v>
      </c>
      <c r="C80" s="16" t="s">
        <v>124</v>
      </c>
      <c r="D80" s="16" t="s">
        <v>125</v>
      </c>
      <c r="E80" s="16">
        <f>E78</f>
        <v>889</v>
      </c>
      <c r="F80" s="16" t="s">
        <v>122</v>
      </c>
      <c r="G80" s="17">
        <v>2880.2</v>
      </c>
      <c r="H80" s="17">
        <f>G80/E80</f>
        <v>3.2398200224971876</v>
      </c>
      <c r="I80" s="26" t="s">
        <v>131</v>
      </c>
      <c r="J80" s="16">
        <v>97740296</v>
      </c>
      <c r="K80" s="18">
        <v>2</v>
      </c>
      <c r="L80" s="10"/>
      <c r="W80" s="10"/>
    </row>
    <row r="81" spans="1:23" x14ac:dyDescent="0.25">
      <c r="A81" s="27" t="s">
        <v>132</v>
      </c>
      <c r="B81" s="15">
        <v>42430</v>
      </c>
      <c r="C81" s="16" t="s">
        <v>120</v>
      </c>
      <c r="D81" s="16" t="s">
        <v>121</v>
      </c>
      <c r="E81" s="16">
        <v>0</v>
      </c>
      <c r="F81" s="16" t="s">
        <v>122</v>
      </c>
      <c r="G81" s="17">
        <v>42</v>
      </c>
      <c r="H81" s="16"/>
      <c r="I81" s="26" t="s">
        <v>131</v>
      </c>
      <c r="J81" s="16">
        <v>42049278</v>
      </c>
      <c r="K81" s="18">
        <v>6</v>
      </c>
      <c r="L81" s="10"/>
      <c r="W81" s="10"/>
    </row>
    <row r="82" spans="1:23" x14ac:dyDescent="0.25">
      <c r="A82" s="27" t="s">
        <v>132</v>
      </c>
      <c r="B82" s="15">
        <v>42430</v>
      </c>
      <c r="C82" s="16" t="s">
        <v>120</v>
      </c>
      <c r="D82" s="16" t="s">
        <v>121</v>
      </c>
      <c r="E82" s="16">
        <v>0</v>
      </c>
      <c r="F82" s="16" t="s">
        <v>122</v>
      </c>
      <c r="G82" s="17">
        <v>28</v>
      </c>
      <c r="H82" s="16"/>
      <c r="I82" s="26" t="s">
        <v>131</v>
      </c>
      <c r="J82" s="16">
        <v>33250621</v>
      </c>
      <c r="K82" s="18">
        <v>4</v>
      </c>
      <c r="L82" s="10"/>
      <c r="W82" s="10"/>
    </row>
    <row r="83" spans="1:23" x14ac:dyDescent="0.25">
      <c r="A83" s="27" t="s">
        <v>132</v>
      </c>
      <c r="B83" s="15">
        <v>42461</v>
      </c>
      <c r="C83" s="16" t="s">
        <v>120</v>
      </c>
      <c r="D83" s="16" t="s">
        <v>121</v>
      </c>
      <c r="E83" s="16">
        <v>0</v>
      </c>
      <c r="F83" s="16" t="s">
        <v>122</v>
      </c>
      <c r="G83" s="17">
        <v>42</v>
      </c>
      <c r="H83" s="16"/>
      <c r="I83" s="26" t="s">
        <v>131</v>
      </c>
      <c r="J83" s="16">
        <v>97716254</v>
      </c>
      <c r="K83" s="18">
        <v>6</v>
      </c>
      <c r="L83" s="10"/>
      <c r="W83" s="10"/>
    </row>
    <row r="84" spans="1:23" x14ac:dyDescent="0.25">
      <c r="A84" s="27" t="s">
        <v>132</v>
      </c>
      <c r="B84" s="15">
        <v>42461</v>
      </c>
      <c r="C84" s="16" t="s">
        <v>120</v>
      </c>
      <c r="D84" s="16" t="s">
        <v>123</v>
      </c>
      <c r="E84" s="16">
        <v>285</v>
      </c>
      <c r="F84" s="16" t="s">
        <v>122</v>
      </c>
      <c r="G84" s="17">
        <f>E84*H84</f>
        <v>795.15</v>
      </c>
      <c r="H84" s="17">
        <v>2.79</v>
      </c>
      <c r="I84" s="26" t="s">
        <v>131</v>
      </c>
      <c r="J84" s="16">
        <v>8188860</v>
      </c>
      <c r="K84" s="18">
        <v>2</v>
      </c>
      <c r="L84" s="10"/>
      <c r="W84" s="10"/>
    </row>
    <row r="85" spans="1:23" x14ac:dyDescent="0.25">
      <c r="A85" s="27" t="s">
        <v>132</v>
      </c>
      <c r="B85" s="15">
        <v>42461</v>
      </c>
      <c r="C85" s="16" t="s">
        <v>120</v>
      </c>
      <c r="D85" s="16" t="s">
        <v>121</v>
      </c>
      <c r="E85" s="16">
        <v>0</v>
      </c>
      <c r="F85" s="16" t="s">
        <v>122</v>
      </c>
      <c r="G85" s="17">
        <f>76.48+47.47</f>
        <v>123.95</v>
      </c>
      <c r="H85" s="16"/>
      <c r="I85" s="26" t="s">
        <v>131</v>
      </c>
      <c r="J85" s="16">
        <v>8188860</v>
      </c>
      <c r="K85" s="18">
        <v>2</v>
      </c>
      <c r="L85" s="10"/>
      <c r="W85" s="10"/>
    </row>
    <row r="86" spans="1:23" x14ac:dyDescent="0.25">
      <c r="A86" s="27" t="s">
        <v>132</v>
      </c>
      <c r="B86" s="15">
        <v>42461</v>
      </c>
      <c r="C86" s="16" t="s">
        <v>124</v>
      </c>
      <c r="D86" s="16" t="s">
        <v>125</v>
      </c>
      <c r="E86" s="16">
        <f>E84</f>
        <v>285</v>
      </c>
      <c r="F86" s="16" t="s">
        <v>122</v>
      </c>
      <c r="G86" s="17">
        <v>971.56</v>
      </c>
      <c r="H86" s="17">
        <f>G86/E86</f>
        <v>3.4089824561403508</v>
      </c>
      <c r="I86" s="26" t="s">
        <v>131</v>
      </c>
      <c r="J86" s="16">
        <v>8188860</v>
      </c>
      <c r="K86" s="18">
        <v>2</v>
      </c>
      <c r="L86" s="10"/>
      <c r="W86" s="10"/>
    </row>
    <row r="87" spans="1:23" x14ac:dyDescent="0.25">
      <c r="A87" s="27" t="s">
        <v>132</v>
      </c>
      <c r="B87" s="15">
        <v>42461</v>
      </c>
      <c r="C87" s="16" t="s">
        <v>120</v>
      </c>
      <c r="D87" s="16" t="s">
        <v>123</v>
      </c>
      <c r="E87" s="16">
        <v>278</v>
      </c>
      <c r="F87" s="16" t="s">
        <v>122</v>
      </c>
      <c r="G87" s="17">
        <f>E87*H87</f>
        <v>775.62</v>
      </c>
      <c r="H87" s="17">
        <v>2.79</v>
      </c>
      <c r="I87" s="26" t="s">
        <v>131</v>
      </c>
      <c r="J87" s="16">
        <v>13343489</v>
      </c>
      <c r="K87" s="18">
        <v>2</v>
      </c>
      <c r="L87" s="10"/>
      <c r="W87" s="10"/>
    </row>
    <row r="88" spans="1:23" x14ac:dyDescent="0.25">
      <c r="A88" s="27" t="s">
        <v>132</v>
      </c>
      <c r="B88" s="15">
        <v>42461</v>
      </c>
      <c r="C88" s="16" t="s">
        <v>120</v>
      </c>
      <c r="D88" s="16" t="s">
        <v>121</v>
      </c>
      <c r="E88" s="16">
        <v>0</v>
      </c>
      <c r="F88" s="16" t="s">
        <v>122</v>
      </c>
      <c r="G88" s="17">
        <f>76.48+47.47</f>
        <v>123.95</v>
      </c>
      <c r="H88" s="16"/>
      <c r="I88" s="26" t="s">
        <v>131</v>
      </c>
      <c r="J88" s="16">
        <v>13343489</v>
      </c>
      <c r="K88" s="18">
        <v>2</v>
      </c>
      <c r="L88" s="10"/>
      <c r="W88" s="10"/>
    </row>
    <row r="89" spans="1:23" x14ac:dyDescent="0.25">
      <c r="A89" s="27" t="s">
        <v>132</v>
      </c>
      <c r="B89" s="15">
        <v>42461</v>
      </c>
      <c r="C89" s="16" t="s">
        <v>124</v>
      </c>
      <c r="D89" s="16" t="s">
        <v>125</v>
      </c>
      <c r="E89" s="16">
        <f>E87</f>
        <v>278</v>
      </c>
      <c r="F89" s="16" t="s">
        <v>122</v>
      </c>
      <c r="G89" s="17">
        <v>949.44</v>
      </c>
      <c r="H89" s="17">
        <f>G89/E89</f>
        <v>3.4152517985611515</v>
      </c>
      <c r="I89" s="26" t="s">
        <v>131</v>
      </c>
      <c r="J89" s="16">
        <v>13343489</v>
      </c>
      <c r="K89" s="18">
        <v>2</v>
      </c>
      <c r="L89" s="10"/>
      <c r="W89" s="10"/>
    </row>
    <row r="90" spans="1:23" x14ac:dyDescent="0.25">
      <c r="A90" s="27" t="s">
        <v>132</v>
      </c>
      <c r="B90" s="15">
        <v>42461</v>
      </c>
      <c r="C90" s="16" t="s">
        <v>120</v>
      </c>
      <c r="D90" s="16" t="s">
        <v>123</v>
      </c>
      <c r="E90" s="16">
        <v>411</v>
      </c>
      <c r="F90" s="16" t="s">
        <v>122</v>
      </c>
      <c r="G90" s="17">
        <f>E90*H90</f>
        <v>1146.69</v>
      </c>
      <c r="H90" s="17">
        <v>2.79</v>
      </c>
      <c r="I90" s="26" t="s">
        <v>131</v>
      </c>
      <c r="J90" s="16">
        <v>16323417</v>
      </c>
      <c r="K90" s="18">
        <v>2</v>
      </c>
      <c r="L90" s="10"/>
      <c r="W90" s="10"/>
    </row>
    <row r="91" spans="1:23" x14ac:dyDescent="0.25">
      <c r="A91" s="27" t="s">
        <v>132</v>
      </c>
      <c r="B91" s="15">
        <v>42461</v>
      </c>
      <c r="C91" s="16" t="s">
        <v>120</v>
      </c>
      <c r="D91" s="16" t="s">
        <v>121</v>
      </c>
      <c r="E91" s="16">
        <v>0</v>
      </c>
      <c r="F91" s="16" t="s">
        <v>122</v>
      </c>
      <c r="G91" s="17">
        <f>76.48+47.47</f>
        <v>123.95</v>
      </c>
      <c r="H91" s="16"/>
      <c r="I91" s="26" t="s">
        <v>131</v>
      </c>
      <c r="J91" s="16">
        <v>16323417</v>
      </c>
      <c r="K91" s="18">
        <v>2</v>
      </c>
      <c r="L91" s="10"/>
      <c r="W91" s="10"/>
    </row>
    <row r="92" spans="1:23" x14ac:dyDescent="0.25">
      <c r="A92" s="27" t="s">
        <v>132</v>
      </c>
      <c r="B92" s="15">
        <v>42461</v>
      </c>
      <c r="C92" s="16" t="s">
        <v>124</v>
      </c>
      <c r="D92" s="16" t="s">
        <v>125</v>
      </c>
      <c r="E92" s="16">
        <f>E90</f>
        <v>411</v>
      </c>
      <c r="F92" s="16" t="s">
        <v>122</v>
      </c>
      <c r="G92" s="17">
        <v>1369.72</v>
      </c>
      <c r="H92" s="17">
        <f>G92/E92</f>
        <v>3.3326520681265208</v>
      </c>
      <c r="I92" s="26" t="s">
        <v>131</v>
      </c>
      <c r="J92" s="16">
        <v>16323417</v>
      </c>
      <c r="K92" s="18">
        <v>2</v>
      </c>
      <c r="L92" s="10"/>
      <c r="W92" s="10"/>
    </row>
    <row r="93" spans="1:23" x14ac:dyDescent="0.25">
      <c r="A93" s="27" t="s">
        <v>132</v>
      </c>
      <c r="B93" s="15">
        <v>42461</v>
      </c>
      <c r="C93" s="16" t="s">
        <v>120</v>
      </c>
      <c r="D93" s="16" t="s">
        <v>123</v>
      </c>
      <c r="E93" s="16">
        <v>397</v>
      </c>
      <c r="F93" s="16" t="s">
        <v>122</v>
      </c>
      <c r="G93" s="17">
        <f>E93*H93</f>
        <v>1107.6300000000001</v>
      </c>
      <c r="H93" s="17">
        <v>2.79</v>
      </c>
      <c r="I93" s="26" t="s">
        <v>131</v>
      </c>
      <c r="J93" s="16">
        <v>29798386</v>
      </c>
      <c r="K93" s="18">
        <v>2</v>
      </c>
      <c r="L93" s="10"/>
      <c r="W93" s="10"/>
    </row>
    <row r="94" spans="1:23" x14ac:dyDescent="0.25">
      <c r="A94" s="27" t="s">
        <v>132</v>
      </c>
      <c r="B94" s="15">
        <v>42461</v>
      </c>
      <c r="C94" s="16" t="s">
        <v>120</v>
      </c>
      <c r="D94" s="16" t="s">
        <v>121</v>
      </c>
      <c r="E94" s="16">
        <v>0</v>
      </c>
      <c r="F94" s="16" t="s">
        <v>122</v>
      </c>
      <c r="G94" s="17">
        <f>76.48+47.47</f>
        <v>123.95</v>
      </c>
      <c r="H94" s="16"/>
      <c r="I94" s="26" t="s">
        <v>131</v>
      </c>
      <c r="J94" s="16">
        <v>29798386</v>
      </c>
      <c r="K94" s="18">
        <v>2</v>
      </c>
      <c r="L94" s="10"/>
      <c r="W94" s="10"/>
    </row>
    <row r="95" spans="1:23" x14ac:dyDescent="0.25">
      <c r="A95" s="27" t="s">
        <v>132</v>
      </c>
      <c r="B95" s="15">
        <v>42461</v>
      </c>
      <c r="C95" s="16" t="s">
        <v>124</v>
      </c>
      <c r="D95" s="16" t="s">
        <v>125</v>
      </c>
      <c r="E95" s="16">
        <f>E93</f>
        <v>397</v>
      </c>
      <c r="F95" s="16" t="s">
        <v>122</v>
      </c>
      <c r="G95" s="17">
        <v>1325.48</v>
      </c>
      <c r="H95" s="17">
        <f>G95/E95</f>
        <v>3.3387405541561712</v>
      </c>
      <c r="I95" s="26" t="s">
        <v>131</v>
      </c>
      <c r="J95" s="16">
        <v>29798386</v>
      </c>
      <c r="K95" s="18">
        <v>2</v>
      </c>
      <c r="L95" s="10"/>
      <c r="W95" s="10"/>
    </row>
    <row r="96" spans="1:23" x14ac:dyDescent="0.25">
      <c r="A96" s="27" t="s">
        <v>132</v>
      </c>
      <c r="B96" s="15">
        <v>42461</v>
      </c>
      <c r="C96" s="16" t="s">
        <v>120</v>
      </c>
      <c r="D96" s="16" t="s">
        <v>123</v>
      </c>
      <c r="E96" s="16">
        <v>328</v>
      </c>
      <c r="F96" s="16" t="s">
        <v>122</v>
      </c>
      <c r="G96" s="17">
        <f>E96*H96</f>
        <v>915.12</v>
      </c>
      <c r="H96" s="17">
        <v>2.79</v>
      </c>
      <c r="I96" s="26" t="s">
        <v>131</v>
      </c>
      <c r="J96" s="16">
        <v>19086736</v>
      </c>
      <c r="K96" s="18">
        <v>2</v>
      </c>
      <c r="L96" s="10"/>
      <c r="W96" s="10"/>
    </row>
    <row r="97" spans="1:23" x14ac:dyDescent="0.25">
      <c r="A97" s="27" t="s">
        <v>132</v>
      </c>
      <c r="B97" s="15">
        <v>42461</v>
      </c>
      <c r="C97" s="16" t="s">
        <v>120</v>
      </c>
      <c r="D97" s="16" t="s">
        <v>121</v>
      </c>
      <c r="E97" s="16">
        <v>0</v>
      </c>
      <c r="F97" s="16" t="s">
        <v>122</v>
      </c>
      <c r="G97" s="17">
        <f>76.48+47.47</f>
        <v>123.95</v>
      </c>
      <c r="H97" s="16"/>
      <c r="I97" s="26" t="s">
        <v>131</v>
      </c>
      <c r="J97" s="16">
        <v>19086736</v>
      </c>
      <c r="K97" s="18">
        <v>2</v>
      </c>
      <c r="L97" s="10"/>
      <c r="W97" s="10"/>
    </row>
    <row r="98" spans="1:23" x14ac:dyDescent="0.25">
      <c r="A98" s="27" t="s">
        <v>132</v>
      </c>
      <c r="B98" s="15">
        <v>42461</v>
      </c>
      <c r="C98" s="16" t="s">
        <v>124</v>
      </c>
      <c r="D98" s="16" t="s">
        <v>125</v>
      </c>
      <c r="E98" s="16">
        <f>E96</f>
        <v>328</v>
      </c>
      <c r="F98" s="16" t="s">
        <v>122</v>
      </c>
      <c r="G98" s="17">
        <v>1107.44</v>
      </c>
      <c r="H98" s="17">
        <f>G98/E98</f>
        <v>3.3763414634146343</v>
      </c>
      <c r="I98" s="26" t="s">
        <v>131</v>
      </c>
      <c r="J98" s="16">
        <v>19086736</v>
      </c>
      <c r="K98" s="18">
        <v>2</v>
      </c>
      <c r="L98" s="10"/>
      <c r="W98" s="10"/>
    </row>
    <row r="99" spans="1:23" x14ac:dyDescent="0.25">
      <c r="A99" s="27" t="s">
        <v>132</v>
      </c>
      <c r="B99" s="15">
        <v>42461</v>
      </c>
      <c r="C99" s="16" t="s">
        <v>120</v>
      </c>
      <c r="D99" s="16" t="s">
        <v>123</v>
      </c>
      <c r="E99" s="16">
        <v>596</v>
      </c>
      <c r="F99" s="16" t="s">
        <v>122</v>
      </c>
      <c r="G99" s="17">
        <f>E99*H99</f>
        <v>1662.84</v>
      </c>
      <c r="H99" s="17">
        <v>2.79</v>
      </c>
      <c r="I99" s="26" t="s">
        <v>131</v>
      </c>
      <c r="J99" s="16">
        <v>19086744</v>
      </c>
      <c r="K99" s="18">
        <v>2</v>
      </c>
      <c r="L99" s="10"/>
      <c r="W99" s="10"/>
    </row>
    <row r="100" spans="1:23" x14ac:dyDescent="0.25">
      <c r="A100" s="27" t="s">
        <v>132</v>
      </c>
      <c r="B100" s="15">
        <v>42461</v>
      </c>
      <c r="C100" s="16" t="s">
        <v>120</v>
      </c>
      <c r="D100" s="16" t="s">
        <v>121</v>
      </c>
      <c r="E100" s="16">
        <v>0</v>
      </c>
      <c r="F100" s="16" t="s">
        <v>122</v>
      </c>
      <c r="G100" s="17">
        <f>76.48+47.47</f>
        <v>123.95</v>
      </c>
      <c r="H100" s="16"/>
      <c r="I100" s="26" t="s">
        <v>131</v>
      </c>
      <c r="J100" s="16">
        <v>19086744</v>
      </c>
      <c r="K100" s="18">
        <v>2</v>
      </c>
      <c r="L100" s="10"/>
      <c r="W100" s="10"/>
    </row>
    <row r="101" spans="1:23" x14ac:dyDescent="0.25">
      <c r="A101" s="27" t="s">
        <v>132</v>
      </c>
      <c r="B101" s="15">
        <v>42461</v>
      </c>
      <c r="C101" s="16" t="s">
        <v>124</v>
      </c>
      <c r="D101" s="16" t="s">
        <v>125</v>
      </c>
      <c r="E101" s="16">
        <f>E99</f>
        <v>596</v>
      </c>
      <c r="F101" s="16" t="s">
        <v>122</v>
      </c>
      <c r="G101" s="17">
        <v>1954.32</v>
      </c>
      <c r="H101" s="17">
        <f>G101/E101</f>
        <v>3.2790604026845638</v>
      </c>
      <c r="I101" s="26" t="s">
        <v>131</v>
      </c>
      <c r="J101" s="16">
        <v>19086744</v>
      </c>
      <c r="K101" s="18">
        <v>2</v>
      </c>
      <c r="L101" s="10"/>
      <c r="W101" s="10"/>
    </row>
    <row r="102" spans="1:23" x14ac:dyDescent="0.25">
      <c r="A102" s="27" t="s">
        <v>132</v>
      </c>
      <c r="B102" s="15">
        <v>42461</v>
      </c>
      <c r="C102" s="16" t="s">
        <v>120</v>
      </c>
      <c r="D102" s="16" t="s">
        <v>123</v>
      </c>
      <c r="E102" s="16">
        <v>840</v>
      </c>
      <c r="F102" s="16" t="s">
        <v>122</v>
      </c>
      <c r="G102" s="17">
        <f>E102*H102</f>
        <v>2343.6</v>
      </c>
      <c r="H102" s="17">
        <v>2.79</v>
      </c>
      <c r="I102" s="26" t="s">
        <v>131</v>
      </c>
      <c r="J102" s="16">
        <v>98520296</v>
      </c>
      <c r="K102" s="18">
        <v>2</v>
      </c>
      <c r="L102" s="10"/>
      <c r="W102" s="10"/>
    </row>
    <row r="103" spans="1:23" x14ac:dyDescent="0.25">
      <c r="A103" s="27" t="s">
        <v>132</v>
      </c>
      <c r="B103" s="15">
        <v>42461</v>
      </c>
      <c r="C103" s="16" t="s">
        <v>120</v>
      </c>
      <c r="D103" s="16" t="s">
        <v>121</v>
      </c>
      <c r="E103" s="16">
        <v>0</v>
      </c>
      <c r="F103" s="16" t="s">
        <v>122</v>
      </c>
      <c r="G103" s="17">
        <f>76.48+47.47</f>
        <v>123.95</v>
      </c>
      <c r="H103" s="16"/>
      <c r="I103" s="26" t="s">
        <v>131</v>
      </c>
      <c r="J103" s="16">
        <v>98520296</v>
      </c>
      <c r="K103" s="18">
        <v>2</v>
      </c>
      <c r="L103" s="10"/>
      <c r="W103" s="10"/>
    </row>
    <row r="104" spans="1:23" x14ac:dyDescent="0.25">
      <c r="A104" s="27" t="s">
        <v>132</v>
      </c>
      <c r="B104" s="15">
        <v>42461</v>
      </c>
      <c r="C104" s="16" t="s">
        <v>124</v>
      </c>
      <c r="D104" s="16" t="s">
        <v>125</v>
      </c>
      <c r="E104" s="16">
        <f>E102</f>
        <v>840</v>
      </c>
      <c r="F104" s="16" t="s">
        <v>122</v>
      </c>
      <c r="G104" s="17">
        <v>2725.36</v>
      </c>
      <c r="H104" s="17">
        <f>G104/E104</f>
        <v>3.2444761904761905</v>
      </c>
      <c r="I104" s="26" t="s">
        <v>131</v>
      </c>
      <c r="J104" s="16">
        <v>98520296</v>
      </c>
      <c r="K104" s="18">
        <v>2</v>
      </c>
      <c r="L104" s="10"/>
      <c r="W104" s="10"/>
    </row>
    <row r="105" spans="1:23" x14ac:dyDescent="0.25">
      <c r="A105" s="27" t="s">
        <v>132</v>
      </c>
      <c r="B105" s="15">
        <v>42461</v>
      </c>
      <c r="C105" s="16" t="s">
        <v>120</v>
      </c>
      <c r="D105" s="16" t="s">
        <v>123</v>
      </c>
      <c r="E105" s="16">
        <v>288</v>
      </c>
      <c r="F105" s="16" t="s">
        <v>122</v>
      </c>
      <c r="G105" s="17">
        <f>E105*H105</f>
        <v>803.52</v>
      </c>
      <c r="H105" s="17">
        <v>2.79</v>
      </c>
      <c r="I105" s="26" t="s">
        <v>131</v>
      </c>
      <c r="J105" s="16">
        <v>97740296</v>
      </c>
      <c r="K105" s="18">
        <v>2</v>
      </c>
      <c r="L105" s="10"/>
      <c r="W105" s="10"/>
    </row>
    <row r="106" spans="1:23" x14ac:dyDescent="0.25">
      <c r="A106" s="27" t="s">
        <v>132</v>
      </c>
      <c r="B106" s="15">
        <v>42461</v>
      </c>
      <c r="C106" s="16" t="s">
        <v>120</v>
      </c>
      <c r="D106" s="16" t="s">
        <v>121</v>
      </c>
      <c r="E106" s="16">
        <v>0</v>
      </c>
      <c r="F106" s="16" t="s">
        <v>122</v>
      </c>
      <c r="G106" s="17">
        <f>76.48+47.47</f>
        <v>123.95</v>
      </c>
      <c r="H106" s="16"/>
      <c r="I106" s="26" t="s">
        <v>131</v>
      </c>
      <c r="J106" s="16">
        <v>97740296</v>
      </c>
      <c r="K106" s="18">
        <v>2</v>
      </c>
      <c r="L106" s="10"/>
      <c r="W106" s="10"/>
    </row>
    <row r="107" spans="1:23" x14ac:dyDescent="0.25">
      <c r="A107" s="27" t="s">
        <v>132</v>
      </c>
      <c r="B107" s="15">
        <v>42461</v>
      </c>
      <c r="C107" s="16" t="s">
        <v>124</v>
      </c>
      <c r="D107" s="16" t="s">
        <v>125</v>
      </c>
      <c r="E107" s="16">
        <f>E105</f>
        <v>288</v>
      </c>
      <c r="F107" s="16" t="s">
        <v>122</v>
      </c>
      <c r="G107" s="17">
        <v>981.04</v>
      </c>
      <c r="H107" s="17">
        <f>G107/E107</f>
        <v>3.4063888888888889</v>
      </c>
      <c r="I107" s="26" t="s">
        <v>131</v>
      </c>
      <c r="J107" s="16">
        <v>97740296</v>
      </c>
      <c r="K107" s="18">
        <v>2</v>
      </c>
      <c r="L107" s="10"/>
      <c r="W107" s="10"/>
    </row>
    <row r="108" spans="1:23" x14ac:dyDescent="0.25">
      <c r="A108" s="27" t="s">
        <v>132</v>
      </c>
      <c r="B108" s="15">
        <v>42461</v>
      </c>
      <c r="C108" s="16" t="s">
        <v>120</v>
      </c>
      <c r="D108" s="16" t="s">
        <v>121</v>
      </c>
      <c r="E108" s="16">
        <v>0</v>
      </c>
      <c r="F108" s="16" t="s">
        <v>122</v>
      </c>
      <c r="G108" s="17">
        <v>42</v>
      </c>
      <c r="H108" s="16"/>
      <c r="I108" s="26" t="s">
        <v>131</v>
      </c>
      <c r="J108" s="16">
        <v>42049278</v>
      </c>
      <c r="K108" s="18">
        <v>6</v>
      </c>
      <c r="L108" s="10"/>
      <c r="W108" s="10"/>
    </row>
    <row r="109" spans="1:23" x14ac:dyDescent="0.25">
      <c r="A109" s="27" t="s">
        <v>132</v>
      </c>
      <c r="B109" s="15">
        <v>42461</v>
      </c>
      <c r="C109" s="16" t="s">
        <v>120</v>
      </c>
      <c r="D109" s="16" t="s">
        <v>121</v>
      </c>
      <c r="E109" s="16">
        <v>0</v>
      </c>
      <c r="F109" s="16" t="s">
        <v>122</v>
      </c>
      <c r="G109" s="17">
        <v>28</v>
      </c>
      <c r="H109" s="16"/>
      <c r="I109" s="26" t="s">
        <v>131</v>
      </c>
      <c r="J109" s="16">
        <v>33250621</v>
      </c>
      <c r="K109" s="18">
        <v>4</v>
      </c>
      <c r="L109" s="10"/>
      <c r="W109" s="10"/>
    </row>
    <row r="110" spans="1:23" x14ac:dyDescent="0.25">
      <c r="A110" s="27" t="s">
        <v>132</v>
      </c>
      <c r="B110" s="15">
        <v>42491</v>
      </c>
      <c r="C110" s="16" t="s">
        <v>120</v>
      </c>
      <c r="D110" s="16" t="s">
        <v>121</v>
      </c>
      <c r="E110" s="16">
        <v>0</v>
      </c>
      <c r="F110" s="16" t="s">
        <v>122</v>
      </c>
      <c r="G110" s="17">
        <v>42</v>
      </c>
      <c r="H110" s="16"/>
      <c r="I110" s="26" t="s">
        <v>131</v>
      </c>
      <c r="J110" s="16">
        <v>97716254</v>
      </c>
      <c r="K110" s="18">
        <v>6</v>
      </c>
      <c r="L110" s="10"/>
      <c r="W110" s="10"/>
    </row>
    <row r="111" spans="1:23" x14ac:dyDescent="0.25">
      <c r="A111" s="27" t="s">
        <v>132</v>
      </c>
      <c r="B111" s="15">
        <v>42491</v>
      </c>
      <c r="C111" s="16" t="s">
        <v>120</v>
      </c>
      <c r="D111" s="16" t="s">
        <v>123</v>
      </c>
      <c r="E111" s="16">
        <v>339</v>
      </c>
      <c r="F111" s="16" t="s">
        <v>122</v>
      </c>
      <c r="G111" s="17">
        <f>E111*H111</f>
        <v>945.81000000000006</v>
      </c>
      <c r="H111" s="17">
        <v>2.79</v>
      </c>
      <c r="I111" s="26" t="s">
        <v>131</v>
      </c>
      <c r="J111" s="16">
        <v>8188860</v>
      </c>
      <c r="K111" s="18">
        <v>2</v>
      </c>
      <c r="L111" s="10"/>
      <c r="W111" s="10"/>
    </row>
    <row r="112" spans="1:23" x14ac:dyDescent="0.25">
      <c r="A112" s="27" t="s">
        <v>132</v>
      </c>
      <c r="B112" s="15">
        <v>42491</v>
      </c>
      <c r="C112" s="16" t="s">
        <v>120</v>
      </c>
      <c r="D112" s="16" t="s">
        <v>121</v>
      </c>
      <c r="E112" s="16">
        <v>0</v>
      </c>
      <c r="F112" s="16" t="s">
        <v>122</v>
      </c>
      <c r="G112" s="17">
        <f>76.48+47.47</f>
        <v>123.95</v>
      </c>
      <c r="H112" s="16"/>
      <c r="I112" s="26" t="s">
        <v>131</v>
      </c>
      <c r="J112" s="16">
        <v>8188860</v>
      </c>
      <c r="K112" s="18">
        <v>2</v>
      </c>
      <c r="L112" s="10"/>
      <c r="W112" s="10"/>
    </row>
    <row r="113" spans="1:23" x14ac:dyDescent="0.25">
      <c r="A113" s="27" t="s">
        <v>132</v>
      </c>
      <c r="B113" s="15">
        <v>42491</v>
      </c>
      <c r="C113" s="16" t="s">
        <v>124</v>
      </c>
      <c r="D113" s="16" t="s">
        <v>125</v>
      </c>
      <c r="E113" s="16">
        <f>E111</f>
        <v>339</v>
      </c>
      <c r="F113" s="16" t="s">
        <v>122</v>
      </c>
      <c r="G113" s="17">
        <v>1142.2</v>
      </c>
      <c r="H113" s="17">
        <f>G113/E113</f>
        <v>3.369321533923304</v>
      </c>
      <c r="I113" s="26" t="s">
        <v>131</v>
      </c>
      <c r="J113" s="16">
        <v>8188860</v>
      </c>
      <c r="K113" s="18">
        <v>2</v>
      </c>
      <c r="L113" s="10"/>
      <c r="W113" s="10"/>
    </row>
    <row r="114" spans="1:23" x14ac:dyDescent="0.25">
      <c r="A114" s="27" t="s">
        <v>132</v>
      </c>
      <c r="B114" s="15">
        <v>42491</v>
      </c>
      <c r="C114" s="16" t="s">
        <v>120</v>
      </c>
      <c r="D114" s="16" t="s">
        <v>123</v>
      </c>
      <c r="E114" s="16">
        <v>329</v>
      </c>
      <c r="F114" s="16" t="s">
        <v>122</v>
      </c>
      <c r="G114" s="17">
        <f>E114*H114</f>
        <v>917.91</v>
      </c>
      <c r="H114" s="17">
        <v>2.79</v>
      </c>
      <c r="I114" s="26" t="s">
        <v>131</v>
      </c>
      <c r="J114" s="16">
        <v>13343489</v>
      </c>
      <c r="K114" s="18">
        <v>2</v>
      </c>
      <c r="L114" s="10"/>
      <c r="W114" s="10"/>
    </row>
    <row r="115" spans="1:23" x14ac:dyDescent="0.25">
      <c r="A115" s="27" t="s">
        <v>132</v>
      </c>
      <c r="B115" s="15">
        <v>42491</v>
      </c>
      <c r="C115" s="16" t="s">
        <v>120</v>
      </c>
      <c r="D115" s="16" t="s">
        <v>121</v>
      </c>
      <c r="E115" s="16">
        <v>0</v>
      </c>
      <c r="F115" s="16" t="s">
        <v>122</v>
      </c>
      <c r="G115" s="17">
        <f>76.48+47.47</f>
        <v>123.95</v>
      </c>
      <c r="H115" s="16"/>
      <c r="I115" s="26" t="s">
        <v>131</v>
      </c>
      <c r="J115" s="16">
        <v>13343489</v>
      </c>
      <c r="K115" s="18">
        <v>2</v>
      </c>
      <c r="L115" s="10"/>
      <c r="W115" s="10"/>
    </row>
    <row r="116" spans="1:23" x14ac:dyDescent="0.25">
      <c r="A116" s="27" t="s">
        <v>132</v>
      </c>
      <c r="B116" s="15">
        <v>42491</v>
      </c>
      <c r="C116" s="16" t="s">
        <v>124</v>
      </c>
      <c r="D116" s="16" t="s">
        <v>125</v>
      </c>
      <c r="E116" s="16">
        <f>E114</f>
        <v>329</v>
      </c>
      <c r="F116" s="16" t="s">
        <v>122</v>
      </c>
      <c r="G116" s="17">
        <v>1110.5999999999999</v>
      </c>
      <c r="H116" s="17">
        <f>G116/E116</f>
        <v>3.3756838905775073</v>
      </c>
      <c r="I116" s="26" t="s">
        <v>131</v>
      </c>
      <c r="J116" s="16">
        <v>13343489</v>
      </c>
      <c r="K116" s="18">
        <v>2</v>
      </c>
      <c r="L116" s="10"/>
      <c r="W116" s="10"/>
    </row>
    <row r="117" spans="1:23" x14ac:dyDescent="0.25">
      <c r="A117" s="27" t="s">
        <v>132</v>
      </c>
      <c r="B117" s="15">
        <v>42491</v>
      </c>
      <c r="C117" s="16" t="s">
        <v>120</v>
      </c>
      <c r="D117" s="16" t="s">
        <v>123</v>
      </c>
      <c r="E117" s="16">
        <v>481</v>
      </c>
      <c r="F117" s="16" t="s">
        <v>122</v>
      </c>
      <c r="G117" s="17">
        <f>E117*H117</f>
        <v>1341.99</v>
      </c>
      <c r="H117" s="17">
        <v>2.79</v>
      </c>
      <c r="I117" s="26" t="s">
        <v>131</v>
      </c>
      <c r="J117" s="16">
        <v>16323417</v>
      </c>
      <c r="K117" s="18">
        <v>2</v>
      </c>
      <c r="L117" s="10"/>
      <c r="W117" s="10"/>
    </row>
    <row r="118" spans="1:23" x14ac:dyDescent="0.25">
      <c r="A118" s="27" t="s">
        <v>132</v>
      </c>
      <c r="B118" s="15">
        <v>42491</v>
      </c>
      <c r="C118" s="16" t="s">
        <v>120</v>
      </c>
      <c r="D118" s="16" t="s">
        <v>121</v>
      </c>
      <c r="E118" s="16">
        <v>0</v>
      </c>
      <c r="F118" s="16" t="s">
        <v>122</v>
      </c>
      <c r="G118" s="17">
        <f>76.48+47.47</f>
        <v>123.95</v>
      </c>
      <c r="H118" s="16"/>
      <c r="I118" s="26" t="s">
        <v>131</v>
      </c>
      <c r="J118" s="16">
        <v>16323417</v>
      </c>
      <c r="K118" s="18">
        <v>2</v>
      </c>
      <c r="L118" s="10"/>
      <c r="W118" s="10"/>
    </row>
    <row r="119" spans="1:23" x14ac:dyDescent="0.25">
      <c r="A119" s="27" t="s">
        <v>132</v>
      </c>
      <c r="B119" s="15">
        <v>42491</v>
      </c>
      <c r="C119" s="16" t="s">
        <v>124</v>
      </c>
      <c r="D119" s="16" t="s">
        <v>125</v>
      </c>
      <c r="E119" s="16">
        <f>E117</f>
        <v>481</v>
      </c>
      <c r="F119" s="16" t="s">
        <v>122</v>
      </c>
      <c r="G119" s="17">
        <v>1590.92</v>
      </c>
      <c r="H119" s="17">
        <f>G119/E119</f>
        <v>3.3075259875259877</v>
      </c>
      <c r="I119" s="26" t="s">
        <v>131</v>
      </c>
      <c r="J119" s="16">
        <v>16323417</v>
      </c>
      <c r="K119" s="18">
        <v>2</v>
      </c>
      <c r="L119" s="10"/>
      <c r="W119" s="10"/>
    </row>
    <row r="120" spans="1:23" x14ac:dyDescent="0.25">
      <c r="A120" s="27" t="s">
        <v>132</v>
      </c>
      <c r="B120" s="15">
        <v>42491</v>
      </c>
      <c r="C120" s="16" t="s">
        <v>120</v>
      </c>
      <c r="D120" s="16" t="s">
        <v>123</v>
      </c>
      <c r="E120" s="16">
        <v>468</v>
      </c>
      <c r="F120" s="16" t="s">
        <v>122</v>
      </c>
      <c r="G120" s="17">
        <f>E120*H120</f>
        <v>1305.72</v>
      </c>
      <c r="H120" s="17">
        <v>2.79</v>
      </c>
      <c r="I120" s="26" t="s">
        <v>131</v>
      </c>
      <c r="J120" s="16">
        <v>29798386</v>
      </c>
      <c r="K120" s="18">
        <v>2</v>
      </c>
      <c r="L120" s="10"/>
      <c r="W120" s="10"/>
    </row>
    <row r="121" spans="1:23" x14ac:dyDescent="0.25">
      <c r="A121" s="27" t="s">
        <v>132</v>
      </c>
      <c r="B121" s="15">
        <v>42491</v>
      </c>
      <c r="C121" s="16" t="s">
        <v>120</v>
      </c>
      <c r="D121" s="16" t="s">
        <v>121</v>
      </c>
      <c r="E121" s="16">
        <v>0</v>
      </c>
      <c r="F121" s="16" t="s">
        <v>122</v>
      </c>
      <c r="G121" s="17">
        <f>76.48+47.47</f>
        <v>123.95</v>
      </c>
      <c r="H121" s="16"/>
      <c r="I121" s="26" t="s">
        <v>131</v>
      </c>
      <c r="J121" s="16">
        <v>29798386</v>
      </c>
      <c r="K121" s="18">
        <v>2</v>
      </c>
      <c r="L121" s="10"/>
      <c r="W121" s="10"/>
    </row>
    <row r="122" spans="1:23" x14ac:dyDescent="0.25">
      <c r="A122" s="27" t="s">
        <v>132</v>
      </c>
      <c r="B122" s="15">
        <v>42491</v>
      </c>
      <c r="C122" s="16" t="s">
        <v>124</v>
      </c>
      <c r="D122" s="16" t="s">
        <v>125</v>
      </c>
      <c r="E122" s="16">
        <f>E120</f>
        <v>468</v>
      </c>
      <c r="F122" s="16" t="s">
        <v>122</v>
      </c>
      <c r="G122" s="17">
        <v>1549.84</v>
      </c>
      <c r="H122" s="17">
        <f>G122/E122</f>
        <v>3.3116239316239313</v>
      </c>
      <c r="I122" s="26" t="s">
        <v>131</v>
      </c>
      <c r="J122" s="16">
        <v>29798386</v>
      </c>
      <c r="K122" s="18">
        <v>2</v>
      </c>
      <c r="L122" s="10"/>
      <c r="W122" s="10"/>
    </row>
    <row r="123" spans="1:23" x14ac:dyDescent="0.25">
      <c r="A123" s="27" t="s">
        <v>132</v>
      </c>
      <c r="B123" s="15">
        <v>42491</v>
      </c>
      <c r="C123" s="16" t="s">
        <v>120</v>
      </c>
      <c r="D123" s="16" t="s">
        <v>123</v>
      </c>
      <c r="E123" s="16">
        <v>371</v>
      </c>
      <c r="F123" s="16" t="s">
        <v>122</v>
      </c>
      <c r="G123" s="17">
        <f>E123*H123</f>
        <v>1035.0899999999999</v>
      </c>
      <c r="H123" s="17">
        <v>2.79</v>
      </c>
      <c r="I123" s="26" t="s">
        <v>131</v>
      </c>
      <c r="J123" s="16">
        <v>19086736</v>
      </c>
      <c r="K123" s="18">
        <v>2</v>
      </c>
      <c r="L123" s="10"/>
      <c r="W123" s="10"/>
    </row>
    <row r="124" spans="1:23" x14ac:dyDescent="0.25">
      <c r="A124" s="27" t="s">
        <v>132</v>
      </c>
      <c r="B124" s="15">
        <v>42491</v>
      </c>
      <c r="C124" s="16" t="s">
        <v>120</v>
      </c>
      <c r="D124" s="16" t="s">
        <v>121</v>
      </c>
      <c r="E124" s="16">
        <v>0</v>
      </c>
      <c r="F124" s="16" t="s">
        <v>122</v>
      </c>
      <c r="G124" s="17">
        <f>76.48+47.47</f>
        <v>123.95</v>
      </c>
      <c r="H124" s="16"/>
      <c r="I124" s="26" t="s">
        <v>131</v>
      </c>
      <c r="J124" s="16">
        <v>19086736</v>
      </c>
      <c r="K124" s="18">
        <v>2</v>
      </c>
      <c r="L124" s="10"/>
      <c r="W124" s="10"/>
    </row>
    <row r="125" spans="1:23" x14ac:dyDescent="0.25">
      <c r="A125" s="27" t="s">
        <v>132</v>
      </c>
      <c r="B125" s="15">
        <v>42491</v>
      </c>
      <c r="C125" s="16" t="s">
        <v>124</v>
      </c>
      <c r="D125" s="16" t="s">
        <v>125</v>
      </c>
      <c r="E125" s="16">
        <f>E123</f>
        <v>371</v>
      </c>
      <c r="F125" s="16" t="s">
        <v>122</v>
      </c>
      <c r="G125" s="17">
        <v>1243.32</v>
      </c>
      <c r="H125" s="17">
        <f>G125/E125</f>
        <v>3.3512668463611859</v>
      </c>
      <c r="I125" s="26" t="s">
        <v>131</v>
      </c>
      <c r="J125" s="16">
        <v>19086736</v>
      </c>
      <c r="K125" s="18">
        <v>2</v>
      </c>
      <c r="L125" s="10"/>
      <c r="W125" s="10"/>
    </row>
    <row r="126" spans="1:23" x14ac:dyDescent="0.25">
      <c r="A126" s="27" t="s">
        <v>132</v>
      </c>
      <c r="B126" s="15">
        <v>42491</v>
      </c>
      <c r="C126" s="16" t="s">
        <v>120</v>
      </c>
      <c r="D126" s="16" t="s">
        <v>123</v>
      </c>
      <c r="E126" s="16">
        <v>681</v>
      </c>
      <c r="F126" s="16" t="s">
        <v>122</v>
      </c>
      <c r="G126" s="17">
        <f>E126*H126</f>
        <v>1899.99</v>
      </c>
      <c r="H126" s="17">
        <v>2.79</v>
      </c>
      <c r="I126" s="26" t="s">
        <v>131</v>
      </c>
      <c r="J126" s="16">
        <v>19086744</v>
      </c>
      <c r="K126" s="18">
        <v>2</v>
      </c>
      <c r="L126" s="10"/>
      <c r="W126" s="10"/>
    </row>
    <row r="127" spans="1:23" x14ac:dyDescent="0.25">
      <c r="A127" s="27" t="s">
        <v>132</v>
      </c>
      <c r="B127" s="15">
        <v>42491</v>
      </c>
      <c r="C127" s="16" t="s">
        <v>120</v>
      </c>
      <c r="D127" s="16" t="s">
        <v>121</v>
      </c>
      <c r="E127" s="16">
        <v>0</v>
      </c>
      <c r="F127" s="16" t="s">
        <v>122</v>
      </c>
      <c r="G127" s="17">
        <f>76.48+47.47</f>
        <v>123.95</v>
      </c>
      <c r="H127" s="16"/>
      <c r="I127" s="26" t="s">
        <v>131</v>
      </c>
      <c r="J127" s="16">
        <v>19086744</v>
      </c>
      <c r="K127" s="18">
        <v>2</v>
      </c>
      <c r="L127" s="10"/>
      <c r="W127" s="10"/>
    </row>
    <row r="128" spans="1:23" x14ac:dyDescent="0.25">
      <c r="A128" s="27" t="s">
        <v>132</v>
      </c>
      <c r="B128" s="15">
        <v>42491</v>
      </c>
      <c r="C128" s="16" t="s">
        <v>124</v>
      </c>
      <c r="D128" s="16" t="s">
        <v>125</v>
      </c>
      <c r="E128" s="16">
        <f>E126</f>
        <v>681</v>
      </c>
      <c r="F128" s="16" t="s">
        <v>122</v>
      </c>
      <c r="G128" s="17">
        <v>2222.92</v>
      </c>
      <c r="H128" s="17">
        <f>G128/E128</f>
        <v>3.2641997063142441</v>
      </c>
      <c r="I128" s="26" t="s">
        <v>131</v>
      </c>
      <c r="J128" s="16">
        <v>19086744</v>
      </c>
      <c r="K128" s="18">
        <v>2</v>
      </c>
      <c r="L128" s="10"/>
      <c r="W128" s="10"/>
    </row>
    <row r="129" spans="1:23" x14ac:dyDescent="0.25">
      <c r="A129" s="27" t="s">
        <v>132</v>
      </c>
      <c r="B129" s="15">
        <v>42491</v>
      </c>
      <c r="C129" s="16" t="s">
        <v>120</v>
      </c>
      <c r="D129" s="16" t="s">
        <v>123</v>
      </c>
      <c r="E129" s="16">
        <v>958</v>
      </c>
      <c r="F129" s="16" t="s">
        <v>122</v>
      </c>
      <c r="G129" s="17">
        <f>E129*H129</f>
        <v>2672.82</v>
      </c>
      <c r="H129" s="17">
        <v>2.79</v>
      </c>
      <c r="I129" s="26" t="s">
        <v>131</v>
      </c>
      <c r="J129" s="16">
        <v>98520296</v>
      </c>
      <c r="K129" s="18">
        <v>2</v>
      </c>
      <c r="L129" s="10"/>
      <c r="W129" s="10"/>
    </row>
    <row r="130" spans="1:23" x14ac:dyDescent="0.25">
      <c r="A130" s="27" t="s">
        <v>132</v>
      </c>
      <c r="B130" s="15">
        <v>42491</v>
      </c>
      <c r="C130" s="16" t="s">
        <v>120</v>
      </c>
      <c r="D130" s="16" t="s">
        <v>121</v>
      </c>
      <c r="E130" s="16">
        <v>0</v>
      </c>
      <c r="F130" s="16" t="s">
        <v>122</v>
      </c>
      <c r="G130" s="17">
        <f>76.48+47.47</f>
        <v>123.95</v>
      </c>
      <c r="H130" s="16"/>
      <c r="I130" s="26" t="s">
        <v>131</v>
      </c>
      <c r="J130" s="16">
        <v>98520296</v>
      </c>
      <c r="K130" s="18">
        <v>2</v>
      </c>
      <c r="L130" s="10"/>
      <c r="W130" s="10"/>
    </row>
    <row r="131" spans="1:23" x14ac:dyDescent="0.25">
      <c r="A131" s="27" t="s">
        <v>132</v>
      </c>
      <c r="B131" s="15">
        <v>42491</v>
      </c>
      <c r="C131" s="16" t="s">
        <v>124</v>
      </c>
      <c r="D131" s="16" t="s">
        <v>125</v>
      </c>
      <c r="E131" s="16">
        <f>E129</f>
        <v>958</v>
      </c>
      <c r="F131" s="16" t="s">
        <v>122</v>
      </c>
      <c r="G131" s="17">
        <v>3098.24</v>
      </c>
      <c r="H131" s="17">
        <f>G131/E131</f>
        <v>3.2340709812108557</v>
      </c>
      <c r="I131" s="26" t="s">
        <v>131</v>
      </c>
      <c r="J131" s="16">
        <v>98520296</v>
      </c>
      <c r="K131" s="18">
        <v>2</v>
      </c>
      <c r="L131" s="10"/>
      <c r="W131" s="10"/>
    </row>
    <row r="132" spans="1:23" x14ac:dyDescent="0.25">
      <c r="A132" s="27" t="s">
        <v>132</v>
      </c>
      <c r="B132" s="15">
        <v>42491</v>
      </c>
      <c r="C132" s="16" t="s">
        <v>120</v>
      </c>
      <c r="D132" s="16" t="s">
        <v>123</v>
      </c>
      <c r="E132" s="16">
        <v>640</v>
      </c>
      <c r="F132" s="16" t="s">
        <v>122</v>
      </c>
      <c r="G132" s="17">
        <f>E132*H132</f>
        <v>1785.6</v>
      </c>
      <c r="H132" s="17">
        <v>2.79</v>
      </c>
      <c r="I132" s="26" t="s">
        <v>131</v>
      </c>
      <c r="J132" s="16">
        <v>97740296</v>
      </c>
      <c r="K132" s="18">
        <v>2</v>
      </c>
      <c r="L132" s="10"/>
      <c r="W132" s="10"/>
    </row>
    <row r="133" spans="1:23" x14ac:dyDescent="0.25">
      <c r="A133" s="27" t="s">
        <v>132</v>
      </c>
      <c r="B133" s="15">
        <v>42491</v>
      </c>
      <c r="C133" s="16" t="s">
        <v>120</v>
      </c>
      <c r="D133" s="16" t="s">
        <v>121</v>
      </c>
      <c r="E133" s="16">
        <v>0</v>
      </c>
      <c r="F133" s="16" t="s">
        <v>122</v>
      </c>
      <c r="G133" s="17">
        <f>76.48+47.47</f>
        <v>123.95</v>
      </c>
      <c r="H133" s="16"/>
      <c r="I133" s="26" t="s">
        <v>131</v>
      </c>
      <c r="J133" s="16">
        <v>97740296</v>
      </c>
      <c r="K133" s="18">
        <v>2</v>
      </c>
      <c r="L133" s="10"/>
      <c r="W133" s="10"/>
    </row>
    <row r="134" spans="1:23" x14ac:dyDescent="0.25">
      <c r="A134" s="27" t="s">
        <v>132</v>
      </c>
      <c r="B134" s="15">
        <v>42491</v>
      </c>
      <c r="C134" s="16" t="s">
        <v>124</v>
      </c>
      <c r="D134" s="16" t="s">
        <v>125</v>
      </c>
      <c r="E134" s="16">
        <f>E132</f>
        <v>640</v>
      </c>
      <c r="F134" s="16" t="s">
        <v>122</v>
      </c>
      <c r="G134" s="17">
        <v>2093.36</v>
      </c>
      <c r="H134" s="17">
        <f>G134/E134</f>
        <v>3.2708750000000002</v>
      </c>
      <c r="I134" s="26" t="s">
        <v>131</v>
      </c>
      <c r="J134" s="16">
        <v>97740296</v>
      </c>
      <c r="K134" s="18">
        <v>2</v>
      </c>
      <c r="L134" s="10"/>
      <c r="W134" s="10"/>
    </row>
    <row r="135" spans="1:23" x14ac:dyDescent="0.25">
      <c r="A135" s="27" t="s">
        <v>132</v>
      </c>
      <c r="B135" s="15">
        <v>42491</v>
      </c>
      <c r="C135" s="16" t="s">
        <v>120</v>
      </c>
      <c r="D135" s="16" t="s">
        <v>121</v>
      </c>
      <c r="E135" s="16">
        <v>0</v>
      </c>
      <c r="F135" s="16" t="s">
        <v>122</v>
      </c>
      <c r="G135" s="17">
        <v>42</v>
      </c>
      <c r="H135" s="16"/>
      <c r="I135" s="26" t="s">
        <v>131</v>
      </c>
      <c r="J135" s="16">
        <v>42049278</v>
      </c>
      <c r="K135" s="18">
        <v>6</v>
      </c>
      <c r="L135" s="10"/>
      <c r="W135" s="10"/>
    </row>
    <row r="136" spans="1:23" x14ac:dyDescent="0.25">
      <c r="A136" s="27" t="s">
        <v>132</v>
      </c>
      <c r="B136" s="15">
        <v>42491</v>
      </c>
      <c r="C136" s="16" t="s">
        <v>120</v>
      </c>
      <c r="D136" s="16" t="s">
        <v>121</v>
      </c>
      <c r="E136" s="16">
        <v>0</v>
      </c>
      <c r="F136" s="16" t="s">
        <v>122</v>
      </c>
      <c r="G136" s="17">
        <v>28</v>
      </c>
      <c r="H136" s="16"/>
      <c r="I136" s="26" t="s">
        <v>131</v>
      </c>
      <c r="J136" s="16">
        <v>33250621</v>
      </c>
      <c r="K136" s="18">
        <v>4</v>
      </c>
      <c r="L136" s="10"/>
      <c r="W136" s="10"/>
    </row>
    <row r="137" spans="1:23" x14ac:dyDescent="0.25">
      <c r="A137" s="27" t="s">
        <v>132</v>
      </c>
      <c r="B137" s="15">
        <v>42522</v>
      </c>
      <c r="C137" s="16" t="s">
        <v>120</v>
      </c>
      <c r="D137" s="16" t="s">
        <v>121</v>
      </c>
      <c r="E137" s="16">
        <v>0</v>
      </c>
      <c r="F137" s="16" t="s">
        <v>122</v>
      </c>
      <c r="G137" s="17">
        <v>42</v>
      </c>
      <c r="H137" s="16"/>
      <c r="I137" s="26" t="s">
        <v>131</v>
      </c>
      <c r="J137" s="16">
        <v>97716254</v>
      </c>
      <c r="K137" s="18">
        <v>6</v>
      </c>
      <c r="L137" s="10"/>
      <c r="W137" s="10"/>
    </row>
    <row r="138" spans="1:23" x14ac:dyDescent="0.25">
      <c r="A138" s="27" t="s">
        <v>132</v>
      </c>
      <c r="B138" s="15">
        <v>42522</v>
      </c>
      <c r="C138" s="16" t="s">
        <v>120</v>
      </c>
      <c r="D138" s="16" t="s">
        <v>123</v>
      </c>
      <c r="E138" s="16">
        <v>425</v>
      </c>
      <c r="F138" s="16" t="s">
        <v>122</v>
      </c>
      <c r="G138" s="17">
        <f>E138*H138</f>
        <v>1185.75</v>
      </c>
      <c r="H138" s="17">
        <v>2.79</v>
      </c>
      <c r="I138" s="26" t="s">
        <v>131</v>
      </c>
      <c r="J138" s="16">
        <v>8188860</v>
      </c>
      <c r="K138" s="18">
        <v>2</v>
      </c>
      <c r="L138" s="10"/>
      <c r="W138" s="10"/>
    </row>
    <row r="139" spans="1:23" x14ac:dyDescent="0.25">
      <c r="A139" s="27" t="s">
        <v>132</v>
      </c>
      <c r="B139" s="15">
        <v>42522</v>
      </c>
      <c r="C139" s="16" t="s">
        <v>120</v>
      </c>
      <c r="D139" s="16" t="s">
        <v>121</v>
      </c>
      <c r="E139" s="16">
        <v>0</v>
      </c>
      <c r="F139" s="16" t="s">
        <v>122</v>
      </c>
      <c r="G139" s="17">
        <f>76.48+47.47</f>
        <v>123.95</v>
      </c>
      <c r="H139" s="16"/>
      <c r="I139" s="26" t="s">
        <v>131</v>
      </c>
      <c r="J139" s="16">
        <v>8188860</v>
      </c>
      <c r="K139" s="18">
        <v>2</v>
      </c>
      <c r="L139" s="10"/>
      <c r="W139" s="10"/>
    </row>
    <row r="140" spans="1:23" x14ac:dyDescent="0.25">
      <c r="A140" s="27" t="s">
        <v>132</v>
      </c>
      <c r="B140" s="15">
        <v>42522</v>
      </c>
      <c r="C140" s="16" t="s">
        <v>124</v>
      </c>
      <c r="D140" s="16" t="s">
        <v>125</v>
      </c>
      <c r="E140" s="16">
        <f>E138</f>
        <v>425</v>
      </c>
      <c r="F140" s="16" t="s">
        <v>122</v>
      </c>
      <c r="G140" s="17">
        <v>1413.96</v>
      </c>
      <c r="H140" s="17">
        <f>G140/E140</f>
        <v>3.3269647058823528</v>
      </c>
      <c r="I140" s="26" t="s">
        <v>131</v>
      </c>
      <c r="J140" s="16">
        <v>8188860</v>
      </c>
      <c r="K140" s="18">
        <v>2</v>
      </c>
      <c r="L140" s="10"/>
      <c r="W140" s="10"/>
    </row>
    <row r="141" spans="1:23" x14ac:dyDescent="0.25">
      <c r="A141" s="27" t="s">
        <v>132</v>
      </c>
      <c r="B141" s="15">
        <v>42522</v>
      </c>
      <c r="C141" s="16" t="s">
        <v>120</v>
      </c>
      <c r="D141" s="16" t="s">
        <v>123</v>
      </c>
      <c r="E141" s="16">
        <v>416</v>
      </c>
      <c r="F141" s="16" t="s">
        <v>122</v>
      </c>
      <c r="G141" s="17">
        <f>E141*H141</f>
        <v>1160.6400000000001</v>
      </c>
      <c r="H141" s="17">
        <v>2.79</v>
      </c>
      <c r="I141" s="26" t="s">
        <v>131</v>
      </c>
      <c r="J141" s="16">
        <v>13343489</v>
      </c>
      <c r="K141" s="18">
        <v>2</v>
      </c>
      <c r="L141" s="10"/>
      <c r="W141" s="10"/>
    </row>
    <row r="142" spans="1:23" x14ac:dyDescent="0.25">
      <c r="A142" s="27" t="s">
        <v>132</v>
      </c>
      <c r="B142" s="15">
        <v>42522</v>
      </c>
      <c r="C142" s="16" t="s">
        <v>120</v>
      </c>
      <c r="D142" s="16" t="s">
        <v>121</v>
      </c>
      <c r="E142" s="16">
        <v>0</v>
      </c>
      <c r="F142" s="16" t="s">
        <v>122</v>
      </c>
      <c r="G142" s="17">
        <f>76.48+47.47</f>
        <v>123.95</v>
      </c>
      <c r="H142" s="16"/>
      <c r="I142" s="26" t="s">
        <v>131</v>
      </c>
      <c r="J142" s="16">
        <v>13343489</v>
      </c>
      <c r="K142" s="18">
        <v>2</v>
      </c>
      <c r="L142" s="10"/>
      <c r="W142" s="10"/>
    </row>
    <row r="143" spans="1:23" x14ac:dyDescent="0.25">
      <c r="A143" s="27" t="s">
        <v>132</v>
      </c>
      <c r="B143" s="15">
        <v>42522</v>
      </c>
      <c r="C143" s="16" t="s">
        <v>124</v>
      </c>
      <c r="D143" s="16" t="s">
        <v>125</v>
      </c>
      <c r="E143" s="16">
        <f>E141</f>
        <v>416</v>
      </c>
      <c r="F143" s="16" t="s">
        <v>122</v>
      </c>
      <c r="G143" s="17">
        <v>1385.52</v>
      </c>
      <c r="H143" s="17">
        <f>G143/E143</f>
        <v>3.3305769230769231</v>
      </c>
      <c r="I143" s="26" t="s">
        <v>131</v>
      </c>
      <c r="J143" s="16">
        <v>13343489</v>
      </c>
      <c r="K143" s="18">
        <v>2</v>
      </c>
      <c r="L143" s="10"/>
      <c r="W143" s="10"/>
    </row>
    <row r="144" spans="1:23" x14ac:dyDescent="0.25">
      <c r="A144" s="27" t="s">
        <v>132</v>
      </c>
      <c r="B144" s="15">
        <v>42522</v>
      </c>
      <c r="C144" s="16" t="s">
        <v>120</v>
      </c>
      <c r="D144" s="16" t="s">
        <v>123</v>
      </c>
      <c r="E144" s="16">
        <v>611</v>
      </c>
      <c r="F144" s="16" t="s">
        <v>122</v>
      </c>
      <c r="G144" s="17">
        <f>E144*H144</f>
        <v>1704.69</v>
      </c>
      <c r="H144" s="17">
        <v>2.79</v>
      </c>
      <c r="I144" s="26" t="s">
        <v>131</v>
      </c>
      <c r="J144" s="16">
        <v>16323417</v>
      </c>
      <c r="K144" s="18">
        <v>2</v>
      </c>
      <c r="L144" s="10"/>
      <c r="W144" s="10"/>
    </row>
    <row r="145" spans="1:23" x14ac:dyDescent="0.25">
      <c r="A145" s="27" t="s">
        <v>132</v>
      </c>
      <c r="B145" s="15">
        <v>42522</v>
      </c>
      <c r="C145" s="16" t="s">
        <v>120</v>
      </c>
      <c r="D145" s="16" t="s">
        <v>121</v>
      </c>
      <c r="E145" s="16">
        <v>0</v>
      </c>
      <c r="F145" s="16" t="s">
        <v>122</v>
      </c>
      <c r="G145" s="17">
        <f>76.48+47.47</f>
        <v>123.95</v>
      </c>
      <c r="H145" s="16"/>
      <c r="I145" s="26" t="s">
        <v>131</v>
      </c>
      <c r="J145" s="16">
        <v>16323417</v>
      </c>
      <c r="K145" s="18">
        <v>2</v>
      </c>
      <c r="L145" s="10"/>
      <c r="W145" s="10"/>
    </row>
    <row r="146" spans="1:23" x14ac:dyDescent="0.25">
      <c r="A146" s="27" t="s">
        <v>132</v>
      </c>
      <c r="B146" s="15">
        <v>42522</v>
      </c>
      <c r="C146" s="16" t="s">
        <v>124</v>
      </c>
      <c r="D146" s="16" t="s">
        <v>125</v>
      </c>
      <c r="E146" s="16">
        <f>E144</f>
        <v>611</v>
      </c>
      <c r="F146" s="16" t="s">
        <v>122</v>
      </c>
      <c r="G146" s="17">
        <v>2001.72</v>
      </c>
      <c r="H146" s="17">
        <f>G146/E146</f>
        <v>3.2761374795417351</v>
      </c>
      <c r="I146" s="26" t="s">
        <v>131</v>
      </c>
      <c r="J146" s="16">
        <v>16323417</v>
      </c>
      <c r="K146" s="18">
        <v>2</v>
      </c>
      <c r="L146" s="10"/>
      <c r="W146" s="10"/>
    </row>
    <row r="147" spans="1:23" x14ac:dyDescent="0.25">
      <c r="A147" s="27" t="s">
        <v>132</v>
      </c>
      <c r="B147" s="15">
        <v>42522</v>
      </c>
      <c r="C147" s="16" t="s">
        <v>120</v>
      </c>
      <c r="D147" s="16" t="s">
        <v>123</v>
      </c>
      <c r="E147" s="16">
        <v>604</v>
      </c>
      <c r="F147" s="16" t="s">
        <v>122</v>
      </c>
      <c r="G147" s="17">
        <f>E147*H147</f>
        <v>1685.16</v>
      </c>
      <c r="H147" s="17">
        <v>2.79</v>
      </c>
      <c r="I147" s="26" t="s">
        <v>131</v>
      </c>
      <c r="J147" s="16">
        <v>29798386</v>
      </c>
      <c r="K147" s="18">
        <v>2</v>
      </c>
      <c r="L147" s="10"/>
      <c r="W147" s="10"/>
    </row>
    <row r="148" spans="1:23" x14ac:dyDescent="0.25">
      <c r="A148" s="27" t="s">
        <v>132</v>
      </c>
      <c r="B148" s="15">
        <v>42522</v>
      </c>
      <c r="C148" s="16" t="s">
        <v>120</v>
      </c>
      <c r="D148" s="16" t="s">
        <v>121</v>
      </c>
      <c r="E148" s="16">
        <v>0</v>
      </c>
      <c r="F148" s="16" t="s">
        <v>122</v>
      </c>
      <c r="G148" s="17">
        <f>76.48+47.47</f>
        <v>123.95</v>
      </c>
      <c r="H148" s="16"/>
      <c r="I148" s="26" t="s">
        <v>131</v>
      </c>
      <c r="J148" s="16">
        <v>29798386</v>
      </c>
      <c r="K148" s="18">
        <v>2</v>
      </c>
      <c r="L148" s="10"/>
      <c r="W148" s="10"/>
    </row>
    <row r="149" spans="1:23" x14ac:dyDescent="0.25">
      <c r="A149" s="27" t="s">
        <v>132</v>
      </c>
      <c r="B149" s="15">
        <v>42522</v>
      </c>
      <c r="C149" s="16" t="s">
        <v>124</v>
      </c>
      <c r="D149" s="16" t="s">
        <v>125</v>
      </c>
      <c r="E149" s="16">
        <f>E147</f>
        <v>604</v>
      </c>
      <c r="F149" s="16" t="s">
        <v>122</v>
      </c>
      <c r="G149" s="17">
        <v>1979.6</v>
      </c>
      <c r="H149" s="17">
        <f>G149/E149</f>
        <v>3.2774834437086091</v>
      </c>
      <c r="I149" s="26" t="s">
        <v>131</v>
      </c>
      <c r="J149" s="16">
        <v>29798386</v>
      </c>
      <c r="K149" s="18">
        <v>2</v>
      </c>
      <c r="L149" s="10"/>
      <c r="W149" s="10"/>
    </row>
    <row r="150" spans="1:23" x14ac:dyDescent="0.25">
      <c r="A150" s="27" t="s">
        <v>132</v>
      </c>
      <c r="B150" s="15">
        <v>42522</v>
      </c>
      <c r="C150" s="16" t="s">
        <v>120</v>
      </c>
      <c r="D150" s="16" t="s">
        <v>123</v>
      </c>
      <c r="E150" s="16">
        <v>344</v>
      </c>
      <c r="F150" s="16" t="s">
        <v>122</v>
      </c>
      <c r="G150" s="17">
        <f>E150*H150</f>
        <v>959.76</v>
      </c>
      <c r="H150" s="17">
        <v>2.79</v>
      </c>
      <c r="I150" s="26" t="s">
        <v>131</v>
      </c>
      <c r="J150" s="16">
        <v>19086736</v>
      </c>
      <c r="K150" s="18">
        <v>2</v>
      </c>
      <c r="L150" s="10"/>
      <c r="W150" s="10"/>
    </row>
    <row r="151" spans="1:23" x14ac:dyDescent="0.25">
      <c r="A151" s="27" t="s">
        <v>132</v>
      </c>
      <c r="B151" s="15">
        <v>42522</v>
      </c>
      <c r="C151" s="16" t="s">
        <v>120</v>
      </c>
      <c r="D151" s="16" t="s">
        <v>121</v>
      </c>
      <c r="E151" s="16">
        <v>0</v>
      </c>
      <c r="F151" s="16" t="s">
        <v>122</v>
      </c>
      <c r="G151" s="17">
        <f>76.48+47.47</f>
        <v>123.95</v>
      </c>
      <c r="H151" s="16"/>
      <c r="I151" s="26" t="s">
        <v>131</v>
      </c>
      <c r="J151" s="16">
        <v>19086736</v>
      </c>
      <c r="K151" s="18">
        <v>2</v>
      </c>
      <c r="L151" s="10"/>
      <c r="W151" s="10"/>
    </row>
    <row r="152" spans="1:23" x14ac:dyDescent="0.25">
      <c r="A152" s="27" t="s">
        <v>132</v>
      </c>
      <c r="B152" s="15">
        <v>42522</v>
      </c>
      <c r="C152" s="16" t="s">
        <v>124</v>
      </c>
      <c r="D152" s="16" t="s">
        <v>125</v>
      </c>
      <c r="E152" s="16">
        <f>E150</f>
        <v>344</v>
      </c>
      <c r="F152" s="16" t="s">
        <v>122</v>
      </c>
      <c r="G152" s="17">
        <v>1158</v>
      </c>
      <c r="H152" s="17">
        <f>G152/E152</f>
        <v>3.3662790697674421</v>
      </c>
      <c r="I152" s="26" t="s">
        <v>131</v>
      </c>
      <c r="J152" s="16">
        <v>19086736</v>
      </c>
      <c r="K152" s="18">
        <v>2</v>
      </c>
      <c r="L152" s="10"/>
      <c r="W152" s="10"/>
    </row>
    <row r="153" spans="1:23" x14ac:dyDescent="0.25">
      <c r="A153" s="27" t="s">
        <v>132</v>
      </c>
      <c r="B153" s="15">
        <v>42522</v>
      </c>
      <c r="C153" s="16" t="s">
        <v>120</v>
      </c>
      <c r="D153" s="16" t="s">
        <v>123</v>
      </c>
      <c r="E153" s="16">
        <v>632</v>
      </c>
      <c r="F153" s="16" t="s">
        <v>122</v>
      </c>
      <c r="G153" s="17">
        <f>E153*H153</f>
        <v>1763.28</v>
      </c>
      <c r="H153" s="17">
        <v>2.79</v>
      </c>
      <c r="I153" s="26" t="s">
        <v>131</v>
      </c>
      <c r="J153" s="16">
        <v>19086744</v>
      </c>
      <c r="K153" s="18">
        <v>2</v>
      </c>
      <c r="L153" s="10"/>
      <c r="W153" s="10"/>
    </row>
    <row r="154" spans="1:23" x14ac:dyDescent="0.25">
      <c r="A154" s="27" t="s">
        <v>132</v>
      </c>
      <c r="B154" s="15">
        <v>42522</v>
      </c>
      <c r="C154" s="16" t="s">
        <v>120</v>
      </c>
      <c r="D154" s="16" t="s">
        <v>121</v>
      </c>
      <c r="E154" s="16">
        <v>0</v>
      </c>
      <c r="F154" s="16" t="s">
        <v>122</v>
      </c>
      <c r="G154" s="17">
        <f>76.48+47.47</f>
        <v>123.95</v>
      </c>
      <c r="H154" s="16"/>
      <c r="I154" s="26" t="s">
        <v>131</v>
      </c>
      <c r="J154" s="16">
        <v>19086744</v>
      </c>
      <c r="K154" s="18">
        <v>2</v>
      </c>
      <c r="L154" s="10"/>
      <c r="W154" s="10"/>
    </row>
    <row r="155" spans="1:23" x14ac:dyDescent="0.25">
      <c r="A155" s="27" t="s">
        <v>132</v>
      </c>
      <c r="B155" s="15">
        <v>42522</v>
      </c>
      <c r="C155" s="16" t="s">
        <v>124</v>
      </c>
      <c r="D155" s="16" t="s">
        <v>125</v>
      </c>
      <c r="E155" s="16">
        <f>E153</f>
        <v>632</v>
      </c>
      <c r="F155" s="16" t="s">
        <v>122</v>
      </c>
      <c r="G155" s="17">
        <v>2068.08</v>
      </c>
      <c r="H155" s="17">
        <f>G155/E155</f>
        <v>3.2722784810126582</v>
      </c>
      <c r="I155" s="26" t="s">
        <v>131</v>
      </c>
      <c r="J155" s="16">
        <v>19086744</v>
      </c>
      <c r="K155" s="18">
        <v>2</v>
      </c>
      <c r="L155" s="10"/>
      <c r="W155" s="10"/>
    </row>
    <row r="156" spans="1:23" x14ac:dyDescent="0.25">
      <c r="A156" s="27" t="s">
        <v>132</v>
      </c>
      <c r="B156" s="15">
        <v>42522</v>
      </c>
      <c r="C156" s="16" t="s">
        <v>120</v>
      </c>
      <c r="D156" s="16" t="s">
        <v>123</v>
      </c>
      <c r="E156" s="16">
        <v>907</v>
      </c>
      <c r="F156" s="16" t="s">
        <v>122</v>
      </c>
      <c r="G156" s="17">
        <f>E156*H156</f>
        <v>2530.5300000000002</v>
      </c>
      <c r="H156" s="17">
        <v>2.79</v>
      </c>
      <c r="I156" s="26" t="s">
        <v>131</v>
      </c>
      <c r="J156" s="16">
        <v>98520296</v>
      </c>
      <c r="K156" s="18">
        <v>2</v>
      </c>
      <c r="L156" s="10"/>
      <c r="W156" s="10"/>
    </row>
    <row r="157" spans="1:23" x14ac:dyDescent="0.25">
      <c r="A157" s="27" t="s">
        <v>132</v>
      </c>
      <c r="B157" s="15">
        <v>42522</v>
      </c>
      <c r="C157" s="16" t="s">
        <v>120</v>
      </c>
      <c r="D157" s="16" t="s">
        <v>121</v>
      </c>
      <c r="E157" s="16">
        <v>0</v>
      </c>
      <c r="F157" s="16" t="s">
        <v>122</v>
      </c>
      <c r="G157" s="17">
        <f>76.48+47.47</f>
        <v>123.95</v>
      </c>
      <c r="H157" s="16"/>
      <c r="I157" s="26" t="s">
        <v>131</v>
      </c>
      <c r="J157" s="16">
        <v>98520296</v>
      </c>
      <c r="K157" s="18">
        <v>2</v>
      </c>
      <c r="L157" s="10"/>
      <c r="W157" s="10"/>
    </row>
    <row r="158" spans="1:23" x14ac:dyDescent="0.25">
      <c r="A158" s="27" t="s">
        <v>132</v>
      </c>
      <c r="B158" s="15">
        <v>42522</v>
      </c>
      <c r="C158" s="16" t="s">
        <v>124</v>
      </c>
      <c r="D158" s="16" t="s">
        <v>125</v>
      </c>
      <c r="E158" s="16">
        <f>E156</f>
        <v>907</v>
      </c>
      <c r="F158" s="16" t="s">
        <v>122</v>
      </c>
      <c r="G158" s="17">
        <v>2937.08</v>
      </c>
      <c r="H158" s="17">
        <f>G158/E158</f>
        <v>3.2382359426681364</v>
      </c>
      <c r="I158" s="26" t="s">
        <v>131</v>
      </c>
      <c r="J158" s="16">
        <v>98520296</v>
      </c>
      <c r="K158" s="18">
        <v>2</v>
      </c>
      <c r="L158" s="10"/>
      <c r="W158" s="10"/>
    </row>
    <row r="159" spans="1:23" x14ac:dyDescent="0.25">
      <c r="A159" s="27" t="s">
        <v>132</v>
      </c>
      <c r="B159" s="15">
        <v>42522</v>
      </c>
      <c r="C159" s="16" t="s">
        <v>120</v>
      </c>
      <c r="D159" s="16" t="s">
        <v>123</v>
      </c>
      <c r="E159" s="16">
        <v>208</v>
      </c>
      <c r="F159" s="16" t="s">
        <v>122</v>
      </c>
      <c r="G159" s="17">
        <f>E159*H159</f>
        <v>580.32000000000005</v>
      </c>
      <c r="H159" s="17">
        <v>2.79</v>
      </c>
      <c r="I159" s="26" t="s">
        <v>131</v>
      </c>
      <c r="J159" s="16">
        <v>97740296</v>
      </c>
      <c r="K159" s="18">
        <v>2</v>
      </c>
      <c r="L159" s="10"/>
      <c r="W159" s="10"/>
    </row>
    <row r="160" spans="1:23" x14ac:dyDescent="0.25">
      <c r="A160" s="27" t="s">
        <v>132</v>
      </c>
      <c r="B160" s="15">
        <v>42522</v>
      </c>
      <c r="C160" s="16" t="s">
        <v>120</v>
      </c>
      <c r="D160" s="16" t="s">
        <v>121</v>
      </c>
      <c r="E160" s="16">
        <v>0</v>
      </c>
      <c r="F160" s="16" t="s">
        <v>122</v>
      </c>
      <c r="G160" s="17">
        <f>76.48+47.47</f>
        <v>123.95</v>
      </c>
      <c r="H160" s="16"/>
      <c r="I160" s="26" t="s">
        <v>131</v>
      </c>
      <c r="J160" s="16">
        <v>97740296</v>
      </c>
      <c r="K160" s="18">
        <v>2</v>
      </c>
      <c r="L160" s="10"/>
      <c r="W160" s="10"/>
    </row>
    <row r="161" spans="1:23" x14ac:dyDescent="0.25">
      <c r="A161" s="27" t="s">
        <v>132</v>
      </c>
      <c r="B161" s="15">
        <v>42522</v>
      </c>
      <c r="C161" s="16" t="s">
        <v>124</v>
      </c>
      <c r="D161" s="16" t="s">
        <v>125</v>
      </c>
      <c r="E161" s="16">
        <f>E159</f>
        <v>208</v>
      </c>
      <c r="F161" s="16" t="s">
        <v>122</v>
      </c>
      <c r="G161" s="17">
        <v>728.24</v>
      </c>
      <c r="H161" s="17">
        <f>G161/E161</f>
        <v>3.5011538461538461</v>
      </c>
      <c r="I161" s="26" t="s">
        <v>131</v>
      </c>
      <c r="J161" s="16">
        <v>97740296</v>
      </c>
      <c r="K161" s="18">
        <v>2</v>
      </c>
      <c r="L161" s="10"/>
      <c r="W161" s="10"/>
    </row>
    <row r="162" spans="1:23" x14ac:dyDescent="0.25">
      <c r="A162" s="27" t="s">
        <v>132</v>
      </c>
      <c r="B162" s="15">
        <v>42522</v>
      </c>
      <c r="C162" s="16" t="s">
        <v>120</v>
      </c>
      <c r="D162" s="16" t="s">
        <v>121</v>
      </c>
      <c r="E162" s="16">
        <v>0</v>
      </c>
      <c r="F162" s="16" t="s">
        <v>122</v>
      </c>
      <c r="G162" s="17">
        <v>42</v>
      </c>
      <c r="H162" s="16"/>
      <c r="I162" s="26" t="s">
        <v>131</v>
      </c>
      <c r="J162" s="16">
        <v>42049278</v>
      </c>
      <c r="K162" s="18">
        <v>6</v>
      </c>
      <c r="L162" s="10"/>
      <c r="W162" s="10"/>
    </row>
    <row r="163" spans="1:23" x14ac:dyDescent="0.25">
      <c r="A163" s="27" t="s">
        <v>132</v>
      </c>
      <c r="B163" s="15">
        <v>42522</v>
      </c>
      <c r="C163" s="16" t="s">
        <v>120</v>
      </c>
      <c r="D163" s="16" t="s">
        <v>121</v>
      </c>
      <c r="E163" s="16">
        <v>0</v>
      </c>
      <c r="F163" s="16" t="s">
        <v>122</v>
      </c>
      <c r="G163" s="17">
        <v>28</v>
      </c>
      <c r="H163" s="16"/>
      <c r="I163" s="26" t="s">
        <v>131</v>
      </c>
      <c r="J163" s="16">
        <v>33250621</v>
      </c>
      <c r="K163" s="18">
        <v>4</v>
      </c>
      <c r="L163" s="10"/>
      <c r="W163" s="10"/>
    </row>
    <row r="164" spans="1:23" x14ac:dyDescent="0.25">
      <c r="A164" s="27" t="s">
        <v>132</v>
      </c>
      <c r="B164" s="15">
        <v>42552</v>
      </c>
      <c r="C164" s="16" t="s">
        <v>120</v>
      </c>
      <c r="D164" s="16" t="s">
        <v>121</v>
      </c>
      <c r="E164" s="16">
        <v>0</v>
      </c>
      <c r="F164" s="16" t="s">
        <v>122</v>
      </c>
      <c r="G164" s="17">
        <v>46.02</v>
      </c>
      <c r="H164" s="16"/>
      <c r="I164" s="26" t="s">
        <v>131</v>
      </c>
      <c r="J164" s="16">
        <v>97716254</v>
      </c>
      <c r="K164" s="18">
        <v>6</v>
      </c>
      <c r="L164" s="10"/>
      <c r="W164" s="10"/>
    </row>
    <row r="165" spans="1:23" x14ac:dyDescent="0.25">
      <c r="A165" s="27" t="s">
        <v>132</v>
      </c>
      <c r="B165" s="15">
        <v>42552</v>
      </c>
      <c r="C165" s="16" t="s">
        <v>120</v>
      </c>
      <c r="D165" s="16" t="s">
        <v>123</v>
      </c>
      <c r="E165" s="16">
        <v>406</v>
      </c>
      <c r="F165" s="16" t="s">
        <v>122</v>
      </c>
      <c r="G165" s="17">
        <f>E165*H165</f>
        <v>1132.74</v>
      </c>
      <c r="H165" s="17">
        <v>2.79</v>
      </c>
      <c r="I165" s="26" t="s">
        <v>131</v>
      </c>
      <c r="J165" s="16">
        <v>8188860</v>
      </c>
      <c r="K165" s="18">
        <v>2</v>
      </c>
      <c r="L165" s="10"/>
      <c r="W165" s="10"/>
    </row>
    <row r="166" spans="1:23" x14ac:dyDescent="0.25">
      <c r="A166" s="27" t="s">
        <v>132</v>
      </c>
      <c r="B166" s="15">
        <v>42552</v>
      </c>
      <c r="C166" s="16" t="s">
        <v>120</v>
      </c>
      <c r="D166" s="16" t="s">
        <v>121</v>
      </c>
      <c r="E166" s="16">
        <v>0</v>
      </c>
      <c r="F166" s="16" t="s">
        <v>122</v>
      </c>
      <c r="G166" s="17">
        <f>76.48+47.47</f>
        <v>123.95</v>
      </c>
      <c r="H166" s="16"/>
      <c r="I166" s="26" t="s">
        <v>131</v>
      </c>
      <c r="J166" s="16">
        <v>8188860</v>
      </c>
      <c r="K166" s="18">
        <v>2</v>
      </c>
      <c r="L166" s="10"/>
      <c r="W166" s="10"/>
    </row>
    <row r="167" spans="1:23" x14ac:dyDescent="0.25">
      <c r="A167" s="27" t="s">
        <v>132</v>
      </c>
      <c r="B167" s="15">
        <v>42552</v>
      </c>
      <c r="C167" s="16" t="s">
        <v>124</v>
      </c>
      <c r="D167" s="16" t="s">
        <v>125</v>
      </c>
      <c r="E167" s="16">
        <f>E165</f>
        <v>406</v>
      </c>
      <c r="F167" s="16" t="s">
        <v>122</v>
      </c>
      <c r="G167" s="17">
        <v>1418.88</v>
      </c>
      <c r="H167" s="17">
        <f>G167/E167</f>
        <v>3.494778325123153</v>
      </c>
      <c r="I167" s="26" t="s">
        <v>131</v>
      </c>
      <c r="J167" s="16">
        <v>8188860</v>
      </c>
      <c r="K167" s="18">
        <v>2</v>
      </c>
      <c r="L167" s="10"/>
      <c r="W167" s="10"/>
    </row>
    <row r="168" spans="1:23" x14ac:dyDescent="0.25">
      <c r="A168" s="27" t="s">
        <v>132</v>
      </c>
      <c r="B168" s="15">
        <v>42552</v>
      </c>
      <c r="C168" s="16" t="s">
        <v>120</v>
      </c>
      <c r="D168" s="16" t="s">
        <v>123</v>
      </c>
      <c r="E168" s="16">
        <v>401</v>
      </c>
      <c r="F168" s="16" t="s">
        <v>122</v>
      </c>
      <c r="G168" s="17">
        <f>E168*H168</f>
        <v>1118.79</v>
      </c>
      <c r="H168" s="17">
        <v>2.79</v>
      </c>
      <c r="I168" s="26" t="s">
        <v>131</v>
      </c>
      <c r="J168" s="16">
        <v>13343489</v>
      </c>
      <c r="K168" s="18">
        <v>2</v>
      </c>
      <c r="L168" s="10"/>
      <c r="W168" s="10"/>
    </row>
    <row r="169" spans="1:23" x14ac:dyDescent="0.25">
      <c r="A169" s="27" t="s">
        <v>132</v>
      </c>
      <c r="B169" s="15">
        <v>42552</v>
      </c>
      <c r="C169" s="16" t="s">
        <v>120</v>
      </c>
      <c r="D169" s="16" t="s">
        <v>121</v>
      </c>
      <c r="E169" s="16">
        <v>0</v>
      </c>
      <c r="F169" s="16" t="s">
        <v>122</v>
      </c>
      <c r="G169" s="17">
        <f>76.48+47.47</f>
        <v>123.95</v>
      </c>
      <c r="H169" s="16"/>
      <c r="I169" s="26" t="s">
        <v>131</v>
      </c>
      <c r="J169" s="16">
        <v>13343489</v>
      </c>
      <c r="K169" s="18">
        <v>2</v>
      </c>
      <c r="L169" s="10"/>
      <c r="W169" s="10"/>
    </row>
    <row r="170" spans="1:23" x14ac:dyDescent="0.25">
      <c r="A170" s="27" t="s">
        <v>132</v>
      </c>
      <c r="B170" s="15">
        <v>42552</v>
      </c>
      <c r="C170" s="16" t="s">
        <v>124</v>
      </c>
      <c r="D170" s="16" t="s">
        <v>125</v>
      </c>
      <c r="E170" s="16">
        <f>E168</f>
        <v>401</v>
      </c>
      <c r="F170" s="16" t="s">
        <v>122</v>
      </c>
      <c r="G170" s="17">
        <v>1402.28</v>
      </c>
      <c r="H170" s="17">
        <f>G170/E170</f>
        <v>3.4969576059850374</v>
      </c>
      <c r="I170" s="26" t="s">
        <v>131</v>
      </c>
      <c r="J170" s="16">
        <v>13343489</v>
      </c>
      <c r="K170" s="18">
        <v>2</v>
      </c>
      <c r="L170" s="10"/>
      <c r="W170" s="10"/>
    </row>
    <row r="171" spans="1:23" x14ac:dyDescent="0.25">
      <c r="A171" s="27" t="s">
        <v>132</v>
      </c>
      <c r="B171" s="15">
        <v>42552</v>
      </c>
      <c r="C171" s="16" t="s">
        <v>120</v>
      </c>
      <c r="D171" s="16" t="s">
        <v>123</v>
      </c>
      <c r="E171" s="16">
        <v>599</v>
      </c>
      <c r="F171" s="16" t="s">
        <v>122</v>
      </c>
      <c r="G171" s="17">
        <f>E171*H171</f>
        <v>1671.21</v>
      </c>
      <c r="H171" s="17">
        <v>2.79</v>
      </c>
      <c r="I171" s="26" t="s">
        <v>131</v>
      </c>
      <c r="J171" s="16">
        <v>16323417</v>
      </c>
      <c r="K171" s="18">
        <v>2</v>
      </c>
      <c r="L171" s="10"/>
      <c r="W171" s="10"/>
    </row>
    <row r="172" spans="1:23" x14ac:dyDescent="0.25">
      <c r="A172" s="27" t="s">
        <v>132</v>
      </c>
      <c r="B172" s="15">
        <v>42552</v>
      </c>
      <c r="C172" s="16" t="s">
        <v>120</v>
      </c>
      <c r="D172" s="16" t="s">
        <v>121</v>
      </c>
      <c r="E172" s="16">
        <v>0</v>
      </c>
      <c r="F172" s="16" t="s">
        <v>122</v>
      </c>
      <c r="G172" s="17">
        <f>76.48+47.47</f>
        <v>123.95</v>
      </c>
      <c r="H172" s="16"/>
      <c r="I172" s="26" t="s">
        <v>131</v>
      </c>
      <c r="J172" s="16">
        <v>16323417</v>
      </c>
      <c r="K172" s="18">
        <v>2</v>
      </c>
      <c r="L172" s="10"/>
      <c r="W172" s="10"/>
    </row>
    <row r="173" spans="1:23" x14ac:dyDescent="0.25">
      <c r="A173" s="27" t="s">
        <v>132</v>
      </c>
      <c r="B173" s="15">
        <v>42552</v>
      </c>
      <c r="C173" s="16" t="s">
        <v>124</v>
      </c>
      <c r="D173" s="16" t="s">
        <v>125</v>
      </c>
      <c r="E173" s="16">
        <f>E171</f>
        <v>599</v>
      </c>
      <c r="F173" s="16" t="s">
        <v>122</v>
      </c>
      <c r="G173" s="17">
        <v>2059.64</v>
      </c>
      <c r="H173" s="17">
        <f>G173/E173</f>
        <v>3.4384641068447412</v>
      </c>
      <c r="I173" s="26" t="s">
        <v>131</v>
      </c>
      <c r="J173" s="16">
        <v>16323417</v>
      </c>
      <c r="K173" s="18">
        <v>2</v>
      </c>
      <c r="L173" s="10"/>
      <c r="W173" s="10"/>
    </row>
    <row r="174" spans="1:23" x14ac:dyDescent="0.25">
      <c r="A174" s="27" t="s">
        <v>132</v>
      </c>
      <c r="B174" s="15">
        <v>42552</v>
      </c>
      <c r="C174" s="16" t="s">
        <v>120</v>
      </c>
      <c r="D174" s="16" t="s">
        <v>123</v>
      </c>
      <c r="E174" s="16">
        <v>587</v>
      </c>
      <c r="F174" s="16" t="s">
        <v>122</v>
      </c>
      <c r="G174" s="17">
        <f>E174*H174</f>
        <v>1637.73</v>
      </c>
      <c r="H174" s="17">
        <v>2.79</v>
      </c>
      <c r="I174" s="26" t="s">
        <v>131</v>
      </c>
      <c r="J174" s="16">
        <v>29798386</v>
      </c>
      <c r="K174" s="18">
        <v>2</v>
      </c>
      <c r="L174" s="10"/>
      <c r="W174" s="10"/>
    </row>
    <row r="175" spans="1:23" x14ac:dyDescent="0.25">
      <c r="A175" s="27" t="s">
        <v>132</v>
      </c>
      <c r="B175" s="15">
        <v>42552</v>
      </c>
      <c r="C175" s="16" t="s">
        <v>120</v>
      </c>
      <c r="D175" s="16" t="s">
        <v>121</v>
      </c>
      <c r="E175" s="16">
        <v>0</v>
      </c>
      <c r="F175" s="16" t="s">
        <v>122</v>
      </c>
      <c r="G175" s="17">
        <f>76.48+47.47</f>
        <v>123.95</v>
      </c>
      <c r="H175" s="16"/>
      <c r="I175" s="26" t="s">
        <v>131</v>
      </c>
      <c r="J175" s="16">
        <v>29798386</v>
      </c>
      <c r="K175" s="18">
        <v>2</v>
      </c>
      <c r="L175" s="10"/>
      <c r="W175" s="10"/>
    </row>
    <row r="176" spans="1:23" x14ac:dyDescent="0.25">
      <c r="A176" s="27" t="s">
        <v>132</v>
      </c>
      <c r="B176" s="15">
        <v>42552</v>
      </c>
      <c r="C176" s="16" t="s">
        <v>124</v>
      </c>
      <c r="D176" s="16" t="s">
        <v>125</v>
      </c>
      <c r="E176" s="16">
        <f>E174</f>
        <v>587</v>
      </c>
      <c r="F176" s="16" t="s">
        <v>122</v>
      </c>
      <c r="G176" s="17">
        <v>2019.8</v>
      </c>
      <c r="H176" s="17">
        <f>G176/E176</f>
        <v>3.4408858603066439</v>
      </c>
      <c r="I176" s="26" t="s">
        <v>131</v>
      </c>
      <c r="J176" s="16">
        <v>29798386</v>
      </c>
      <c r="K176" s="18">
        <v>2</v>
      </c>
      <c r="L176" s="10"/>
      <c r="W176" s="10"/>
    </row>
    <row r="177" spans="1:23" x14ac:dyDescent="0.25">
      <c r="A177" s="27" t="s">
        <v>132</v>
      </c>
      <c r="B177" s="15">
        <v>42552</v>
      </c>
      <c r="C177" s="16" t="s">
        <v>120</v>
      </c>
      <c r="D177" s="16" t="s">
        <v>123</v>
      </c>
      <c r="E177" s="16">
        <v>304</v>
      </c>
      <c r="F177" s="16" t="s">
        <v>122</v>
      </c>
      <c r="G177" s="17">
        <f>E177*H177</f>
        <v>848.16</v>
      </c>
      <c r="H177" s="17">
        <v>2.79</v>
      </c>
      <c r="I177" s="26" t="s">
        <v>131</v>
      </c>
      <c r="J177" s="16">
        <v>19086736</v>
      </c>
      <c r="K177" s="18">
        <v>2</v>
      </c>
      <c r="L177" s="10"/>
      <c r="W177" s="10"/>
    </row>
    <row r="178" spans="1:23" x14ac:dyDescent="0.25">
      <c r="A178" s="27" t="s">
        <v>132</v>
      </c>
      <c r="B178" s="15">
        <v>42552</v>
      </c>
      <c r="C178" s="16" t="s">
        <v>120</v>
      </c>
      <c r="D178" s="16" t="s">
        <v>121</v>
      </c>
      <c r="E178" s="16">
        <v>0</v>
      </c>
      <c r="F178" s="16" t="s">
        <v>122</v>
      </c>
      <c r="G178" s="17">
        <f>76.48+47.47</f>
        <v>123.95</v>
      </c>
      <c r="H178" s="16"/>
      <c r="I178" s="26" t="s">
        <v>131</v>
      </c>
      <c r="J178" s="16">
        <v>19086736</v>
      </c>
      <c r="K178" s="18">
        <v>2</v>
      </c>
      <c r="L178" s="10"/>
      <c r="W178" s="10"/>
    </row>
    <row r="179" spans="1:23" x14ac:dyDescent="0.25">
      <c r="A179" s="27" t="s">
        <v>132</v>
      </c>
      <c r="B179" s="15">
        <v>42552</v>
      </c>
      <c r="C179" s="16" t="s">
        <v>124</v>
      </c>
      <c r="D179" s="16" t="s">
        <v>125</v>
      </c>
      <c r="E179" s="16">
        <f>E177</f>
        <v>304</v>
      </c>
      <c r="F179" s="16" t="s">
        <v>122</v>
      </c>
      <c r="G179" s="17">
        <v>1080.24</v>
      </c>
      <c r="H179" s="17">
        <f>G179/E179</f>
        <v>3.5534210526315788</v>
      </c>
      <c r="I179" s="26" t="s">
        <v>131</v>
      </c>
      <c r="J179" s="16">
        <v>19086736</v>
      </c>
      <c r="K179" s="18">
        <v>2</v>
      </c>
      <c r="L179" s="10"/>
      <c r="W179" s="10"/>
    </row>
    <row r="180" spans="1:23" x14ac:dyDescent="0.25">
      <c r="A180" s="27" t="s">
        <v>132</v>
      </c>
      <c r="B180" s="15">
        <v>42552</v>
      </c>
      <c r="C180" s="16" t="s">
        <v>120</v>
      </c>
      <c r="D180" s="16" t="s">
        <v>123</v>
      </c>
      <c r="E180" s="16">
        <v>560</v>
      </c>
      <c r="F180" s="16" t="s">
        <v>122</v>
      </c>
      <c r="G180" s="17">
        <f>E180*H180</f>
        <v>1562.4</v>
      </c>
      <c r="H180" s="17">
        <v>2.79</v>
      </c>
      <c r="I180" s="26" t="s">
        <v>131</v>
      </c>
      <c r="J180" s="16">
        <v>19086744</v>
      </c>
      <c r="K180" s="18">
        <v>2</v>
      </c>
      <c r="L180" s="10"/>
      <c r="W180" s="10"/>
    </row>
    <row r="181" spans="1:23" x14ac:dyDescent="0.25">
      <c r="A181" s="27" t="s">
        <v>132</v>
      </c>
      <c r="B181" s="15">
        <v>42552</v>
      </c>
      <c r="C181" s="16" t="s">
        <v>120</v>
      </c>
      <c r="D181" s="16" t="s">
        <v>121</v>
      </c>
      <c r="E181" s="16">
        <v>0</v>
      </c>
      <c r="F181" s="16" t="s">
        <v>122</v>
      </c>
      <c r="G181" s="17">
        <f>76.48+47.47</f>
        <v>123.95</v>
      </c>
      <c r="H181" s="16"/>
      <c r="I181" s="26" t="s">
        <v>131</v>
      </c>
      <c r="J181" s="16">
        <v>19086744</v>
      </c>
      <c r="K181" s="18">
        <v>2</v>
      </c>
      <c r="L181" s="10"/>
      <c r="W181" s="10"/>
    </row>
    <row r="182" spans="1:23" x14ac:dyDescent="0.25">
      <c r="A182" s="27" t="s">
        <v>132</v>
      </c>
      <c r="B182" s="15">
        <v>42552</v>
      </c>
      <c r="C182" s="16" t="s">
        <v>124</v>
      </c>
      <c r="D182" s="16" t="s">
        <v>125</v>
      </c>
      <c r="E182" s="16">
        <f>E180</f>
        <v>560</v>
      </c>
      <c r="F182" s="16" t="s">
        <v>122</v>
      </c>
      <c r="G182" s="17">
        <v>1930.16</v>
      </c>
      <c r="H182" s="17">
        <f>G182/E182</f>
        <v>3.4467142857142861</v>
      </c>
      <c r="I182" s="26" t="s">
        <v>131</v>
      </c>
      <c r="J182" s="16">
        <v>19086744</v>
      </c>
      <c r="K182" s="18">
        <v>2</v>
      </c>
      <c r="L182" s="10"/>
      <c r="W182" s="10"/>
    </row>
    <row r="183" spans="1:23" x14ac:dyDescent="0.25">
      <c r="A183" s="27" t="s">
        <v>132</v>
      </c>
      <c r="B183" s="15">
        <v>42552</v>
      </c>
      <c r="C183" s="16" t="s">
        <v>120</v>
      </c>
      <c r="D183" s="16" t="s">
        <v>123</v>
      </c>
      <c r="E183" s="16">
        <v>805</v>
      </c>
      <c r="F183" s="16" t="s">
        <v>122</v>
      </c>
      <c r="G183" s="17">
        <f>E183*H183</f>
        <v>2245.9499999999998</v>
      </c>
      <c r="H183" s="17">
        <v>2.79</v>
      </c>
      <c r="I183" s="26" t="s">
        <v>131</v>
      </c>
      <c r="J183" s="16">
        <v>98520296</v>
      </c>
      <c r="K183" s="18">
        <v>2</v>
      </c>
      <c r="L183" s="10"/>
      <c r="W183" s="10"/>
    </row>
    <row r="184" spans="1:23" x14ac:dyDescent="0.25">
      <c r="A184" s="27" t="s">
        <v>132</v>
      </c>
      <c r="B184" s="15">
        <v>42552</v>
      </c>
      <c r="C184" s="16" t="s">
        <v>120</v>
      </c>
      <c r="D184" s="16" t="s">
        <v>121</v>
      </c>
      <c r="E184" s="16">
        <v>0</v>
      </c>
      <c r="F184" s="16" t="s">
        <v>122</v>
      </c>
      <c r="G184" s="17">
        <f>76.48+47.47</f>
        <v>123.95</v>
      </c>
      <c r="H184" s="16"/>
      <c r="I184" s="26" t="s">
        <v>131</v>
      </c>
      <c r="J184" s="16">
        <v>98520296</v>
      </c>
      <c r="K184" s="18">
        <v>2</v>
      </c>
      <c r="L184" s="10"/>
      <c r="W184" s="10"/>
    </row>
    <row r="185" spans="1:23" x14ac:dyDescent="0.25">
      <c r="A185" s="27" t="s">
        <v>132</v>
      </c>
      <c r="B185" s="15">
        <v>42552</v>
      </c>
      <c r="C185" s="16" t="s">
        <v>124</v>
      </c>
      <c r="D185" s="16" t="s">
        <v>125</v>
      </c>
      <c r="E185" s="16">
        <f>E183</f>
        <v>805</v>
      </c>
      <c r="F185" s="16" t="s">
        <v>122</v>
      </c>
      <c r="G185" s="17">
        <v>2743.56</v>
      </c>
      <c r="H185" s="17">
        <f>G185/E185</f>
        <v>3.4081490683229814</v>
      </c>
      <c r="I185" s="26" t="s">
        <v>131</v>
      </c>
      <c r="J185" s="16">
        <v>98520296</v>
      </c>
      <c r="K185" s="18">
        <v>2</v>
      </c>
      <c r="L185" s="10"/>
      <c r="W185" s="10"/>
    </row>
    <row r="186" spans="1:23" x14ac:dyDescent="0.25">
      <c r="A186" s="27" t="s">
        <v>132</v>
      </c>
      <c r="B186" s="15">
        <v>42552</v>
      </c>
      <c r="C186" s="16" t="s">
        <v>120</v>
      </c>
      <c r="D186" s="16" t="s">
        <v>123</v>
      </c>
      <c r="E186" s="16">
        <v>11</v>
      </c>
      <c r="F186" s="16" t="s">
        <v>122</v>
      </c>
      <c r="G186" s="17">
        <f>E186*H186</f>
        <v>30.69</v>
      </c>
      <c r="H186" s="17">
        <v>2.79</v>
      </c>
      <c r="I186" s="26" t="s">
        <v>131</v>
      </c>
      <c r="J186" s="16">
        <v>97740296</v>
      </c>
      <c r="K186" s="18">
        <v>2</v>
      </c>
      <c r="L186" s="10"/>
      <c r="W186" s="10"/>
    </row>
    <row r="187" spans="1:23" x14ac:dyDescent="0.25">
      <c r="A187" s="27" t="s">
        <v>132</v>
      </c>
      <c r="B187" s="15">
        <v>42552</v>
      </c>
      <c r="C187" s="16" t="s">
        <v>120</v>
      </c>
      <c r="D187" s="16" t="s">
        <v>121</v>
      </c>
      <c r="E187" s="16">
        <v>0</v>
      </c>
      <c r="F187" s="16" t="s">
        <v>122</v>
      </c>
      <c r="G187" s="17">
        <f>76.48+47.47</f>
        <v>123.95</v>
      </c>
      <c r="H187" s="16"/>
      <c r="I187" s="26" t="s">
        <v>131</v>
      </c>
      <c r="J187" s="16">
        <v>97740296</v>
      </c>
      <c r="K187" s="18">
        <v>2</v>
      </c>
      <c r="L187" s="10"/>
      <c r="W187" s="10"/>
    </row>
    <row r="188" spans="1:23" x14ac:dyDescent="0.25">
      <c r="A188" s="27" t="s">
        <v>132</v>
      </c>
      <c r="B188" s="15">
        <v>42552</v>
      </c>
      <c r="C188" s="16" t="s">
        <v>124</v>
      </c>
      <c r="D188" s="16" t="s">
        <v>125</v>
      </c>
      <c r="E188" s="16">
        <f>E186</f>
        <v>11</v>
      </c>
      <c r="F188" s="16" t="s">
        <v>122</v>
      </c>
      <c r="G188" s="17">
        <v>107.48</v>
      </c>
      <c r="H188" s="17">
        <f>G188/E188</f>
        <v>9.7709090909090914</v>
      </c>
      <c r="I188" s="26" t="s">
        <v>131</v>
      </c>
      <c r="J188" s="16">
        <v>97740296</v>
      </c>
      <c r="K188" s="18">
        <v>2</v>
      </c>
      <c r="L188" s="10"/>
      <c r="W188" s="10"/>
    </row>
    <row r="189" spans="1:23" x14ac:dyDescent="0.25">
      <c r="A189" s="27" t="s">
        <v>132</v>
      </c>
      <c r="B189" s="15">
        <v>42552</v>
      </c>
      <c r="C189" s="16" t="s">
        <v>120</v>
      </c>
      <c r="D189" s="16" t="s">
        <v>121</v>
      </c>
      <c r="E189" s="16">
        <v>0</v>
      </c>
      <c r="F189" s="16" t="s">
        <v>122</v>
      </c>
      <c r="G189" s="17">
        <v>46.02</v>
      </c>
      <c r="H189" s="16"/>
      <c r="I189" s="26" t="s">
        <v>131</v>
      </c>
      <c r="J189" s="16">
        <v>42049278</v>
      </c>
      <c r="K189" s="18">
        <v>6</v>
      </c>
      <c r="L189" s="10"/>
      <c r="W189" s="10"/>
    </row>
    <row r="190" spans="1:23" x14ac:dyDescent="0.25">
      <c r="A190" s="27" t="s">
        <v>132</v>
      </c>
      <c r="B190" s="15">
        <v>42552</v>
      </c>
      <c r="C190" s="16" t="s">
        <v>120</v>
      </c>
      <c r="D190" s="16" t="s">
        <v>121</v>
      </c>
      <c r="E190" s="16">
        <v>0</v>
      </c>
      <c r="F190" s="16" t="s">
        <v>122</v>
      </c>
      <c r="G190" s="17">
        <v>30.68</v>
      </c>
      <c r="H190" s="16"/>
      <c r="I190" s="26" t="s">
        <v>131</v>
      </c>
      <c r="J190" s="16">
        <v>33250621</v>
      </c>
      <c r="K190" s="18">
        <v>4</v>
      </c>
      <c r="L190" s="10"/>
      <c r="W190" s="10"/>
    </row>
    <row r="191" spans="1:23" x14ac:dyDescent="0.25">
      <c r="A191" s="27" t="s">
        <v>132</v>
      </c>
      <c r="B191" s="15">
        <v>42583</v>
      </c>
      <c r="C191" s="16" t="s">
        <v>120</v>
      </c>
      <c r="D191" s="16" t="s">
        <v>121</v>
      </c>
      <c r="E191" s="16">
        <v>0</v>
      </c>
      <c r="F191" s="16" t="s">
        <v>122</v>
      </c>
      <c r="G191" s="17">
        <v>46.02</v>
      </c>
      <c r="H191" s="16"/>
      <c r="I191" s="26" t="s">
        <v>131</v>
      </c>
      <c r="J191" s="16">
        <v>97716254</v>
      </c>
      <c r="K191" s="18">
        <v>6</v>
      </c>
      <c r="L191" s="10"/>
      <c r="W191" s="10"/>
    </row>
    <row r="192" spans="1:23" x14ac:dyDescent="0.25">
      <c r="A192" s="27" t="s">
        <v>132</v>
      </c>
      <c r="B192" s="15">
        <v>42583</v>
      </c>
      <c r="C192" s="16" t="s">
        <v>120</v>
      </c>
      <c r="D192" s="16" t="s">
        <v>123</v>
      </c>
      <c r="E192" s="16">
        <v>441</v>
      </c>
      <c r="F192" s="16" t="s">
        <v>122</v>
      </c>
      <c r="G192" s="17">
        <v>1230.3900000000001</v>
      </c>
      <c r="H192" s="17">
        <v>2.79</v>
      </c>
      <c r="I192" s="26" t="s">
        <v>131</v>
      </c>
      <c r="J192" s="16">
        <v>8188860</v>
      </c>
      <c r="K192" s="18">
        <v>2</v>
      </c>
      <c r="L192" s="10"/>
      <c r="W192" s="10"/>
    </row>
    <row r="193" spans="1:23" x14ac:dyDescent="0.25">
      <c r="A193" s="27" t="s">
        <v>132</v>
      </c>
      <c r="B193" s="15">
        <v>42583</v>
      </c>
      <c r="C193" s="16" t="s">
        <v>120</v>
      </c>
      <c r="D193" s="16" t="s">
        <v>121</v>
      </c>
      <c r="E193" s="16">
        <v>0</v>
      </c>
      <c r="F193" s="16" t="s">
        <v>122</v>
      </c>
      <c r="G193" s="17">
        <f>76.48+47.47</f>
        <v>123.95</v>
      </c>
      <c r="H193" s="16"/>
      <c r="I193" s="26" t="s">
        <v>131</v>
      </c>
      <c r="J193" s="16">
        <v>8188860</v>
      </c>
      <c r="K193" s="18">
        <v>2</v>
      </c>
      <c r="L193" s="10"/>
      <c r="W193" s="10"/>
    </row>
    <row r="194" spans="1:23" x14ac:dyDescent="0.25">
      <c r="A194" s="27" t="s">
        <v>132</v>
      </c>
      <c r="B194" s="15">
        <v>42583</v>
      </c>
      <c r="C194" s="16" t="s">
        <v>124</v>
      </c>
      <c r="D194" s="16" t="s">
        <v>125</v>
      </c>
      <c r="E194" s="16">
        <v>441</v>
      </c>
      <c r="F194" s="16" t="s">
        <v>122</v>
      </c>
      <c r="G194" s="17">
        <v>1535.08</v>
      </c>
      <c r="H194" s="17">
        <v>3.48</v>
      </c>
      <c r="I194" s="26" t="s">
        <v>131</v>
      </c>
      <c r="J194" s="16">
        <v>8188860</v>
      </c>
      <c r="K194" s="18">
        <v>2</v>
      </c>
      <c r="L194" s="10"/>
    </row>
    <row r="195" spans="1:23" x14ac:dyDescent="0.25">
      <c r="A195" s="27" t="s">
        <v>132</v>
      </c>
      <c r="B195" s="15">
        <v>42583</v>
      </c>
      <c r="C195" s="16" t="s">
        <v>120</v>
      </c>
      <c r="D195" s="16" t="s">
        <v>123</v>
      </c>
      <c r="E195" s="16">
        <v>437</v>
      </c>
      <c r="F195" s="16" t="s">
        <v>122</v>
      </c>
      <c r="G195" s="17">
        <v>1219.23</v>
      </c>
      <c r="H195" s="17">
        <v>2.79</v>
      </c>
      <c r="I195" s="26" t="s">
        <v>131</v>
      </c>
      <c r="J195" s="16">
        <v>13343489</v>
      </c>
      <c r="K195" s="18">
        <v>2</v>
      </c>
      <c r="L195" s="10"/>
    </row>
    <row r="196" spans="1:23" x14ac:dyDescent="0.25">
      <c r="A196" s="27" t="s">
        <v>132</v>
      </c>
      <c r="B196" s="15">
        <v>42583</v>
      </c>
      <c r="C196" s="16" t="s">
        <v>120</v>
      </c>
      <c r="D196" s="16" t="s">
        <v>121</v>
      </c>
      <c r="E196" s="16">
        <v>0</v>
      </c>
      <c r="F196" s="16" t="s">
        <v>122</v>
      </c>
      <c r="G196" s="17">
        <f>76.48+47.47</f>
        <v>123.95</v>
      </c>
      <c r="H196" s="16"/>
      <c r="I196" s="26" t="s">
        <v>131</v>
      </c>
      <c r="J196" s="16">
        <v>13343489</v>
      </c>
      <c r="K196" s="18">
        <v>2</v>
      </c>
      <c r="L196" s="10"/>
    </row>
    <row r="197" spans="1:23" x14ac:dyDescent="0.25">
      <c r="A197" s="27" t="s">
        <v>132</v>
      </c>
      <c r="B197" s="15">
        <v>42583</v>
      </c>
      <c r="C197" s="16" t="s">
        <v>124</v>
      </c>
      <c r="D197" s="16" t="s">
        <v>125</v>
      </c>
      <c r="E197" s="16">
        <v>437</v>
      </c>
      <c r="F197" s="16" t="s">
        <v>122</v>
      </c>
      <c r="G197" s="17">
        <v>1521.8</v>
      </c>
      <c r="H197" s="17">
        <v>3.48</v>
      </c>
      <c r="I197" s="26" t="s">
        <v>131</v>
      </c>
      <c r="J197" s="16">
        <v>13343489</v>
      </c>
      <c r="K197" s="18">
        <v>2</v>
      </c>
      <c r="L197" s="10"/>
    </row>
    <row r="198" spans="1:23" x14ac:dyDescent="0.25">
      <c r="A198" s="27" t="s">
        <v>132</v>
      </c>
      <c r="B198" s="15">
        <v>42583</v>
      </c>
      <c r="C198" s="16" t="s">
        <v>120</v>
      </c>
      <c r="D198" s="16" t="s">
        <v>123</v>
      </c>
      <c r="E198" s="16">
        <v>653</v>
      </c>
      <c r="F198" s="16" t="s">
        <v>122</v>
      </c>
      <c r="G198" s="17">
        <v>1821.87</v>
      </c>
      <c r="H198" s="17">
        <v>2.79</v>
      </c>
      <c r="I198" s="26" t="s">
        <v>131</v>
      </c>
      <c r="J198" s="16">
        <v>16323417</v>
      </c>
      <c r="K198" s="18">
        <v>2</v>
      </c>
      <c r="L198" s="10"/>
    </row>
    <row r="199" spans="1:23" x14ac:dyDescent="0.25">
      <c r="A199" s="27" t="s">
        <v>132</v>
      </c>
      <c r="B199" s="15">
        <v>42583</v>
      </c>
      <c r="C199" s="16" t="s">
        <v>120</v>
      </c>
      <c r="D199" s="16" t="s">
        <v>121</v>
      </c>
      <c r="E199" s="16">
        <v>0</v>
      </c>
      <c r="F199" s="16" t="s">
        <v>122</v>
      </c>
      <c r="G199" s="17">
        <f>76.48+47.47</f>
        <v>123.95</v>
      </c>
      <c r="H199" s="16"/>
      <c r="I199" s="26" t="s">
        <v>131</v>
      </c>
      <c r="J199" s="16">
        <v>16323417</v>
      </c>
      <c r="K199" s="18">
        <v>2</v>
      </c>
      <c r="L199" s="10"/>
    </row>
    <row r="200" spans="1:23" x14ac:dyDescent="0.25">
      <c r="A200" s="27" t="s">
        <v>132</v>
      </c>
      <c r="B200" s="15">
        <v>42583</v>
      </c>
      <c r="C200" s="16" t="s">
        <v>124</v>
      </c>
      <c r="D200" s="16" t="s">
        <v>125</v>
      </c>
      <c r="E200" s="16">
        <v>653</v>
      </c>
      <c r="F200" s="16" t="s">
        <v>122</v>
      </c>
      <c r="G200" s="17">
        <v>2238.92</v>
      </c>
      <c r="H200" s="17">
        <v>3.43</v>
      </c>
      <c r="I200" s="26" t="s">
        <v>131</v>
      </c>
      <c r="J200" s="16">
        <v>16323417</v>
      </c>
      <c r="K200" s="18">
        <v>2</v>
      </c>
      <c r="L200" s="10"/>
    </row>
    <row r="201" spans="1:23" x14ac:dyDescent="0.25">
      <c r="A201" s="27" t="s">
        <v>132</v>
      </c>
      <c r="B201" s="15">
        <v>42583</v>
      </c>
      <c r="C201" s="16" t="s">
        <v>120</v>
      </c>
      <c r="D201" s="16" t="s">
        <v>123</v>
      </c>
      <c r="E201" s="16">
        <v>621</v>
      </c>
      <c r="F201" s="16" t="s">
        <v>122</v>
      </c>
      <c r="G201" s="17">
        <v>1732.59</v>
      </c>
      <c r="H201" s="17">
        <v>2.79</v>
      </c>
      <c r="I201" s="26" t="s">
        <v>131</v>
      </c>
      <c r="J201" s="16">
        <v>29798386</v>
      </c>
      <c r="K201" s="18">
        <v>2</v>
      </c>
      <c r="L201" s="10"/>
    </row>
    <row r="202" spans="1:23" x14ac:dyDescent="0.25">
      <c r="A202" s="27" t="s">
        <v>132</v>
      </c>
      <c r="B202" s="15">
        <v>42583</v>
      </c>
      <c r="C202" s="16" t="s">
        <v>120</v>
      </c>
      <c r="D202" s="16" t="s">
        <v>121</v>
      </c>
      <c r="E202" s="16">
        <v>0</v>
      </c>
      <c r="F202" s="16" t="s">
        <v>122</v>
      </c>
      <c r="G202" s="17">
        <f>76.48+47.47</f>
        <v>123.95</v>
      </c>
      <c r="H202" s="16"/>
      <c r="I202" s="26" t="s">
        <v>131</v>
      </c>
      <c r="J202" s="16">
        <v>29798386</v>
      </c>
      <c r="K202" s="18">
        <v>2</v>
      </c>
      <c r="L202" s="10"/>
    </row>
    <row r="203" spans="1:23" x14ac:dyDescent="0.25">
      <c r="A203" s="27" t="s">
        <v>132</v>
      </c>
      <c r="B203" s="15">
        <v>42583</v>
      </c>
      <c r="C203" s="16" t="s">
        <v>124</v>
      </c>
      <c r="D203" s="16" t="s">
        <v>125</v>
      </c>
      <c r="E203" s="16">
        <v>621</v>
      </c>
      <c r="F203" s="16" t="s">
        <v>122</v>
      </c>
      <c r="G203" s="17">
        <v>2132.6799999999998</v>
      </c>
      <c r="H203" s="17">
        <v>3.44</v>
      </c>
      <c r="I203" s="26" t="s">
        <v>131</v>
      </c>
      <c r="J203" s="16">
        <v>29798386</v>
      </c>
      <c r="K203" s="18">
        <v>2</v>
      </c>
      <c r="L203" s="10"/>
    </row>
    <row r="204" spans="1:23" x14ac:dyDescent="0.25">
      <c r="A204" s="27" t="s">
        <v>132</v>
      </c>
      <c r="B204" s="15">
        <v>42583</v>
      </c>
      <c r="C204" s="16" t="s">
        <v>120</v>
      </c>
      <c r="D204" s="16" t="s">
        <v>123</v>
      </c>
      <c r="E204" s="16">
        <v>402</v>
      </c>
      <c r="F204" s="16" t="s">
        <v>122</v>
      </c>
      <c r="G204" s="17">
        <v>1121.58</v>
      </c>
      <c r="H204" s="17">
        <v>2.79</v>
      </c>
      <c r="I204" s="26" t="s">
        <v>131</v>
      </c>
      <c r="J204" s="16">
        <v>19086736</v>
      </c>
      <c r="K204" s="18">
        <v>2</v>
      </c>
      <c r="L204" s="10"/>
    </row>
    <row r="205" spans="1:23" x14ac:dyDescent="0.25">
      <c r="A205" s="27" t="s">
        <v>132</v>
      </c>
      <c r="B205" s="15">
        <v>42583</v>
      </c>
      <c r="C205" s="16" t="s">
        <v>120</v>
      </c>
      <c r="D205" s="16" t="s">
        <v>121</v>
      </c>
      <c r="E205" s="16">
        <v>0</v>
      </c>
      <c r="F205" s="16" t="s">
        <v>122</v>
      </c>
      <c r="G205" s="17">
        <f>76.48+47.47</f>
        <v>123.95</v>
      </c>
      <c r="H205" s="16"/>
      <c r="I205" s="26" t="s">
        <v>131</v>
      </c>
      <c r="J205" s="16">
        <v>19086736</v>
      </c>
      <c r="K205" s="18">
        <v>2</v>
      </c>
      <c r="L205" s="10"/>
    </row>
    <row r="206" spans="1:23" x14ac:dyDescent="0.25">
      <c r="A206" s="27" t="s">
        <v>132</v>
      </c>
      <c r="B206" s="15">
        <v>42583</v>
      </c>
      <c r="C206" s="16" t="s">
        <v>124</v>
      </c>
      <c r="D206" s="16" t="s">
        <v>125</v>
      </c>
      <c r="E206" s="16">
        <v>402</v>
      </c>
      <c r="F206" s="16" t="s">
        <v>122</v>
      </c>
      <c r="G206" s="17">
        <v>1405.6</v>
      </c>
      <c r="H206" s="17">
        <v>3.5</v>
      </c>
      <c r="I206" s="26" t="s">
        <v>131</v>
      </c>
      <c r="J206" s="16">
        <v>19086736</v>
      </c>
      <c r="K206" s="18">
        <v>2</v>
      </c>
      <c r="L206" s="10"/>
    </row>
    <row r="207" spans="1:23" x14ac:dyDescent="0.25">
      <c r="A207" s="27" t="s">
        <v>132</v>
      </c>
      <c r="B207" s="15">
        <v>42583</v>
      </c>
      <c r="C207" s="16" t="s">
        <v>120</v>
      </c>
      <c r="D207" s="16" t="s">
        <v>123</v>
      </c>
      <c r="E207" s="16">
        <v>731</v>
      </c>
      <c r="F207" s="16" t="s">
        <v>122</v>
      </c>
      <c r="G207" s="17">
        <v>2039.49</v>
      </c>
      <c r="H207" s="17">
        <v>2.79</v>
      </c>
      <c r="I207" s="26" t="s">
        <v>131</v>
      </c>
      <c r="J207" s="16">
        <v>19086744</v>
      </c>
      <c r="K207" s="18">
        <v>2</v>
      </c>
      <c r="L207" s="10"/>
    </row>
    <row r="208" spans="1:23" x14ac:dyDescent="0.25">
      <c r="A208" s="27" t="s">
        <v>132</v>
      </c>
      <c r="B208" s="15">
        <v>42583</v>
      </c>
      <c r="C208" s="16" t="s">
        <v>120</v>
      </c>
      <c r="D208" s="16" t="s">
        <v>121</v>
      </c>
      <c r="E208" s="16">
        <v>0</v>
      </c>
      <c r="F208" s="16" t="s">
        <v>122</v>
      </c>
      <c r="G208" s="17">
        <f>76.48+47.47</f>
        <v>123.95</v>
      </c>
      <c r="H208" s="16"/>
      <c r="I208" s="26" t="s">
        <v>131</v>
      </c>
      <c r="J208" s="16">
        <v>19086744</v>
      </c>
      <c r="K208" s="18">
        <v>2</v>
      </c>
      <c r="L208" s="10"/>
    </row>
    <row r="209" spans="1:12" x14ac:dyDescent="0.25">
      <c r="A209" s="27" t="s">
        <v>132</v>
      </c>
      <c r="B209" s="15">
        <v>42583</v>
      </c>
      <c r="C209" s="16" t="s">
        <v>124</v>
      </c>
      <c r="D209" s="16" t="s">
        <v>125</v>
      </c>
      <c r="E209" s="16">
        <v>731</v>
      </c>
      <c r="F209" s="16" t="s">
        <v>122</v>
      </c>
      <c r="G209" s="17">
        <v>2497.88</v>
      </c>
      <c r="H209" s="17">
        <v>3.42</v>
      </c>
      <c r="I209" s="26" t="s">
        <v>131</v>
      </c>
      <c r="J209" s="16">
        <v>19086744</v>
      </c>
      <c r="K209" s="18">
        <v>2</v>
      </c>
      <c r="L209" s="10"/>
    </row>
    <row r="210" spans="1:12" x14ac:dyDescent="0.25">
      <c r="A210" s="27" t="s">
        <v>132</v>
      </c>
      <c r="B210" s="15">
        <v>42583</v>
      </c>
      <c r="C210" s="16" t="s">
        <v>120</v>
      </c>
      <c r="D210" s="16" t="s">
        <v>123</v>
      </c>
      <c r="E210" s="16">
        <v>1041</v>
      </c>
      <c r="F210" s="16" t="s">
        <v>122</v>
      </c>
      <c r="G210" s="17">
        <v>2904.39</v>
      </c>
      <c r="H210" s="17">
        <v>2.79</v>
      </c>
      <c r="I210" s="26" t="s">
        <v>131</v>
      </c>
      <c r="J210" s="16">
        <v>98520296</v>
      </c>
      <c r="K210" s="18">
        <v>2</v>
      </c>
      <c r="L210" s="10"/>
    </row>
    <row r="211" spans="1:12" x14ac:dyDescent="0.25">
      <c r="A211" s="27" t="s">
        <v>132</v>
      </c>
      <c r="B211" s="15">
        <v>42583</v>
      </c>
      <c r="C211" s="16" t="s">
        <v>120</v>
      </c>
      <c r="D211" s="16" t="s">
        <v>121</v>
      </c>
      <c r="E211" s="16">
        <v>0</v>
      </c>
      <c r="F211" s="16" t="s">
        <v>122</v>
      </c>
      <c r="G211" s="17">
        <f>76.48+47.47</f>
        <v>123.95</v>
      </c>
      <c r="H211" s="16"/>
      <c r="I211" s="26" t="s">
        <v>131</v>
      </c>
      <c r="J211" s="16">
        <v>98520296</v>
      </c>
      <c r="K211" s="18">
        <v>2</v>
      </c>
      <c r="L211" s="10"/>
    </row>
    <row r="212" spans="1:12" x14ac:dyDescent="0.25">
      <c r="A212" s="27" t="s">
        <v>132</v>
      </c>
      <c r="B212" s="15">
        <v>42583</v>
      </c>
      <c r="C212" s="16" t="s">
        <v>124</v>
      </c>
      <c r="D212" s="16" t="s">
        <v>125</v>
      </c>
      <c r="E212" s="16">
        <v>1041</v>
      </c>
      <c r="F212" s="16" t="s">
        <v>122</v>
      </c>
      <c r="G212" s="17">
        <v>3527.08</v>
      </c>
      <c r="H212" s="17">
        <v>3.39</v>
      </c>
      <c r="I212" s="26" t="s">
        <v>131</v>
      </c>
      <c r="J212" s="16">
        <v>98520296</v>
      </c>
      <c r="K212" s="18">
        <v>2</v>
      </c>
      <c r="L212" s="10"/>
    </row>
    <row r="213" spans="1:12" x14ac:dyDescent="0.25">
      <c r="A213" s="27" t="s">
        <v>132</v>
      </c>
      <c r="B213" s="15">
        <v>42583</v>
      </c>
      <c r="C213" s="16" t="s">
        <v>120</v>
      </c>
      <c r="D213" s="16" t="s">
        <v>123</v>
      </c>
      <c r="E213" s="16">
        <v>613</v>
      </c>
      <c r="F213" s="16" t="s">
        <v>122</v>
      </c>
      <c r="G213" s="17">
        <v>1710.27</v>
      </c>
      <c r="H213" s="17">
        <v>2.79</v>
      </c>
      <c r="I213" s="26" t="s">
        <v>131</v>
      </c>
      <c r="J213" s="16">
        <v>97740296</v>
      </c>
      <c r="K213" s="18">
        <v>2</v>
      </c>
      <c r="L213" s="10"/>
    </row>
    <row r="214" spans="1:12" x14ac:dyDescent="0.25">
      <c r="A214" s="27" t="s">
        <v>132</v>
      </c>
      <c r="B214" s="15">
        <v>42583</v>
      </c>
      <c r="C214" s="16" t="s">
        <v>120</v>
      </c>
      <c r="D214" s="16" t="s">
        <v>121</v>
      </c>
      <c r="E214" s="16">
        <v>0</v>
      </c>
      <c r="F214" s="16" t="s">
        <v>122</v>
      </c>
      <c r="G214" s="17">
        <f>76.48+47.47</f>
        <v>123.95</v>
      </c>
      <c r="H214" s="16"/>
      <c r="I214" s="26" t="s">
        <v>131</v>
      </c>
      <c r="J214" s="16">
        <v>97740296</v>
      </c>
      <c r="K214" s="18">
        <v>2</v>
      </c>
      <c r="L214" s="10"/>
    </row>
    <row r="215" spans="1:12" x14ac:dyDescent="0.25">
      <c r="A215" s="27" t="s">
        <v>132</v>
      </c>
      <c r="B215" s="15">
        <v>42583</v>
      </c>
      <c r="C215" s="16" t="s">
        <v>124</v>
      </c>
      <c r="D215" s="16" t="s">
        <v>125</v>
      </c>
      <c r="E215" s="16">
        <v>613</v>
      </c>
      <c r="F215" s="16" t="s">
        <v>122</v>
      </c>
      <c r="G215" s="17">
        <v>2106.12</v>
      </c>
      <c r="H215" s="17">
        <v>3.44</v>
      </c>
      <c r="I215" s="26" t="s">
        <v>131</v>
      </c>
      <c r="J215" s="16">
        <v>97740296</v>
      </c>
      <c r="K215" s="18">
        <v>2</v>
      </c>
      <c r="L215" s="10"/>
    </row>
    <row r="216" spans="1:12" x14ac:dyDescent="0.25">
      <c r="A216" s="27" t="s">
        <v>132</v>
      </c>
      <c r="B216" s="15">
        <v>42583</v>
      </c>
      <c r="C216" s="16" t="s">
        <v>120</v>
      </c>
      <c r="D216" s="16" t="s">
        <v>121</v>
      </c>
      <c r="E216" s="16">
        <v>0</v>
      </c>
      <c r="F216" s="16" t="s">
        <v>122</v>
      </c>
      <c r="G216" s="17">
        <v>46.02</v>
      </c>
      <c r="H216" s="16"/>
      <c r="I216" s="26" t="s">
        <v>131</v>
      </c>
      <c r="J216" s="16">
        <v>42049278</v>
      </c>
      <c r="K216" s="18">
        <v>6</v>
      </c>
      <c r="L216" s="10"/>
    </row>
    <row r="217" spans="1:12" x14ac:dyDescent="0.25">
      <c r="A217" s="27" t="s">
        <v>132</v>
      </c>
      <c r="B217" s="22">
        <v>42583</v>
      </c>
      <c r="C217" s="23" t="s">
        <v>120</v>
      </c>
      <c r="D217" s="23" t="s">
        <v>121</v>
      </c>
      <c r="E217" s="23">
        <v>0</v>
      </c>
      <c r="F217" s="23" t="s">
        <v>122</v>
      </c>
      <c r="G217" s="24">
        <v>30.68</v>
      </c>
      <c r="H217" s="23"/>
      <c r="I217" s="26" t="s">
        <v>131</v>
      </c>
      <c r="J217" s="23">
        <v>33250621</v>
      </c>
      <c r="K217" s="25">
        <v>4</v>
      </c>
      <c r="L217" s="10"/>
    </row>
  </sheetData>
  <mergeCells count="12">
    <mergeCell ref="Y11:Y12"/>
    <mergeCell ref="AC11:AC12"/>
    <mergeCell ref="AC22:AC23"/>
    <mergeCell ref="AB22:AB23"/>
    <mergeCell ref="O2:O3"/>
    <mergeCell ref="P2:P3"/>
    <mergeCell ref="Q2:Q3"/>
    <mergeCell ref="R2:V2"/>
    <mergeCell ref="P11:P12"/>
    <mergeCell ref="Q11:Q12"/>
    <mergeCell ref="R11:R12"/>
    <mergeCell ref="P13:P15"/>
  </mergeCells>
  <hyperlinks>
    <hyperlink ref="Y2" r:id="rId1" display="Lookup" xr:uid="{1BD793AB-4FE7-4467-880F-23FA16FCB7FE}"/>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264ED-8E1C-44F6-8086-76D7FA01404F}">
  <sheetPr codeName="Sheet3"/>
  <dimension ref="A2:C9"/>
  <sheetViews>
    <sheetView workbookViewId="0">
      <selection activeCell="AC28" sqref="AC28"/>
    </sheetView>
  </sheetViews>
  <sheetFormatPr defaultRowHeight="15" x14ac:dyDescent="0.25"/>
  <cols>
    <col min="1" max="1" width="33.28515625" bestFit="1" customWidth="1"/>
    <col min="2" max="2" width="28.140625" bestFit="1" customWidth="1"/>
    <col min="3" max="3" width="15" bestFit="1" customWidth="1"/>
    <col min="4" max="4" width="28.140625" bestFit="1" customWidth="1"/>
  </cols>
  <sheetData>
    <row r="2" spans="1:3" x14ac:dyDescent="0.25">
      <c r="A2" s="1" t="s">
        <v>80</v>
      </c>
      <c r="B2" t="s">
        <v>91</v>
      </c>
    </row>
    <row r="4" spans="1:3" x14ac:dyDescent="0.25">
      <c r="A4" s="1" t="s">
        <v>88</v>
      </c>
      <c r="B4" t="s">
        <v>94</v>
      </c>
      <c r="C4" t="s">
        <v>90</v>
      </c>
    </row>
    <row r="5" spans="1:3" x14ac:dyDescent="0.25">
      <c r="A5" s="2" t="s">
        <v>41</v>
      </c>
      <c r="B5" s="3">
        <v>11331.435675000001</v>
      </c>
      <c r="C5" s="3">
        <v>40462.928243999995</v>
      </c>
    </row>
    <row r="6" spans="1:3" x14ac:dyDescent="0.25">
      <c r="A6" s="2" t="s">
        <v>34</v>
      </c>
      <c r="B6" s="3">
        <v>1393.2202720000003</v>
      </c>
      <c r="C6" s="3">
        <v>46304.993529999992</v>
      </c>
    </row>
    <row r="7" spans="1:3" x14ac:dyDescent="0.25">
      <c r="A7" s="2" t="s">
        <v>39</v>
      </c>
      <c r="B7" s="3">
        <v>99.901960000000003</v>
      </c>
      <c r="C7" s="3">
        <v>862.43177099999991</v>
      </c>
    </row>
    <row r="8" spans="1:3" x14ac:dyDescent="0.25">
      <c r="A8" s="2" t="s">
        <v>10</v>
      </c>
      <c r="B8" s="3">
        <v>0.37206000000000006</v>
      </c>
      <c r="C8" s="3">
        <v>0.34634700000000002</v>
      </c>
    </row>
    <row r="9" spans="1:3" x14ac:dyDescent="0.25">
      <c r="A9" s="2" t="s">
        <v>89</v>
      </c>
      <c r="B9" s="3">
        <v>12824.929967</v>
      </c>
      <c r="C9" s="3">
        <v>87630.69989199999</v>
      </c>
    </row>
  </sheetData>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EE91A-68C8-4957-8503-566155D27433}">
  <sheetPr codeName="Sheet4"/>
  <dimension ref="A4:C9"/>
  <sheetViews>
    <sheetView topLeftCell="A4" workbookViewId="0">
      <selection activeCell="AC28" sqref="AC28"/>
    </sheetView>
  </sheetViews>
  <sheetFormatPr defaultRowHeight="15" x14ac:dyDescent="0.25"/>
  <cols>
    <col min="1" max="1" width="33.28515625" bestFit="1" customWidth="1"/>
    <col min="2" max="2" width="26.42578125" bestFit="1" customWidth="1"/>
    <col min="3" max="3" width="23.85546875" bestFit="1" customWidth="1"/>
    <col min="4" max="4" width="24.140625" bestFit="1" customWidth="1"/>
    <col min="5" max="5" width="28.140625" bestFit="1" customWidth="1"/>
  </cols>
  <sheetData>
    <row r="4" spans="1:3" x14ac:dyDescent="0.25">
      <c r="A4" s="1" t="s">
        <v>88</v>
      </c>
      <c r="B4" t="s">
        <v>92</v>
      </c>
      <c r="C4" t="s">
        <v>93</v>
      </c>
    </row>
    <row r="5" spans="1:3" x14ac:dyDescent="0.25">
      <c r="A5" s="2" t="s">
        <v>41</v>
      </c>
      <c r="B5" s="3">
        <v>23416.600281999999</v>
      </c>
      <c r="C5" s="3">
        <v>2023.079215</v>
      </c>
    </row>
    <row r="6" spans="1:3" x14ac:dyDescent="0.25">
      <c r="A6" s="2" t="s">
        <v>34</v>
      </c>
      <c r="B6" s="3">
        <v>23065.736038999999</v>
      </c>
      <c r="C6" s="3">
        <v>1383.5804949999997</v>
      </c>
    </row>
    <row r="7" spans="1:3" x14ac:dyDescent="0.25">
      <c r="A7" s="2" t="s">
        <v>39</v>
      </c>
      <c r="B7" s="3">
        <v>4029.7220730000004</v>
      </c>
      <c r="C7" s="3">
        <v>159.334844</v>
      </c>
    </row>
    <row r="8" spans="1:3" x14ac:dyDescent="0.25">
      <c r="A8" s="2" t="s">
        <v>10</v>
      </c>
      <c r="B8" s="3">
        <v>73.537087999999983</v>
      </c>
      <c r="C8" s="3">
        <v>1.608895</v>
      </c>
    </row>
    <row r="9" spans="1:3" x14ac:dyDescent="0.25">
      <c r="A9" s="2" t="s">
        <v>89</v>
      </c>
      <c r="B9" s="3">
        <v>50585.595482000004</v>
      </c>
      <c r="C9" s="3">
        <v>3567.6034489999997</v>
      </c>
    </row>
  </sheetData>
  <pageMargins left="0.7" right="0.7" top="0.75" bottom="0.75" header="0.3" footer="0.3"/>
  <pageSetup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8C940-B2E0-498F-AEDE-B7BC7A90AA2D}">
  <sheetPr codeName="Sheet5"/>
  <dimension ref="A4:B11"/>
  <sheetViews>
    <sheetView workbookViewId="0">
      <selection activeCell="AC28" sqref="AC28"/>
    </sheetView>
  </sheetViews>
  <sheetFormatPr defaultRowHeight="15" x14ac:dyDescent="0.25"/>
  <cols>
    <col min="1" max="1" width="13.140625" bestFit="1" customWidth="1"/>
    <col min="2" max="2" width="27.85546875" bestFit="1" customWidth="1"/>
    <col min="3" max="3" width="25.28515625" bestFit="1" customWidth="1"/>
    <col min="4" max="4" width="28.140625" bestFit="1" customWidth="1"/>
  </cols>
  <sheetData>
    <row r="4" spans="1:2" x14ac:dyDescent="0.25">
      <c r="A4" s="1" t="s">
        <v>88</v>
      </c>
      <c r="B4" t="s">
        <v>95</v>
      </c>
    </row>
    <row r="5" spans="1:2" x14ac:dyDescent="0.25">
      <c r="A5" s="2" t="s">
        <v>101</v>
      </c>
      <c r="B5" s="6">
        <v>0.28282828282828282</v>
      </c>
    </row>
    <row r="6" spans="1:2" x14ac:dyDescent="0.25">
      <c r="A6" s="2" t="s">
        <v>100</v>
      </c>
      <c r="B6" s="6">
        <v>0.13131313131313133</v>
      </c>
    </row>
    <row r="7" spans="1:2" x14ac:dyDescent="0.25">
      <c r="A7" s="2" t="s">
        <v>99</v>
      </c>
      <c r="B7" s="6">
        <v>0.15151515151515152</v>
      </c>
    </row>
    <row r="8" spans="1:2" x14ac:dyDescent="0.25">
      <c r="A8" s="2" t="s">
        <v>97</v>
      </c>
      <c r="B8" s="6">
        <v>0.13131313131313133</v>
      </c>
    </row>
    <row r="9" spans="1:2" x14ac:dyDescent="0.25">
      <c r="A9" s="2" t="s">
        <v>98</v>
      </c>
      <c r="B9" s="6">
        <v>0.15151515151515152</v>
      </c>
    </row>
    <row r="10" spans="1:2" x14ac:dyDescent="0.25">
      <c r="A10" s="2" t="s">
        <v>96</v>
      </c>
      <c r="B10" s="6">
        <v>0.15151515151515152</v>
      </c>
    </row>
    <row r="11" spans="1:2" x14ac:dyDescent="0.25">
      <c r="A11" s="2" t="s">
        <v>89</v>
      </c>
      <c r="B11" s="6">
        <v>1</v>
      </c>
    </row>
  </sheetData>
  <pageMargins left="0.7" right="0.7" top="0.75" bottom="0.75" header="0.3" footer="0.3"/>
  <pageSetup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80E8-D036-42CF-BAD4-05E85A999CC9}">
  <sheetPr codeName="Sheet6"/>
  <dimension ref="A4:B33"/>
  <sheetViews>
    <sheetView topLeftCell="A2" workbookViewId="0">
      <selection activeCell="AC28" sqref="AC28"/>
    </sheetView>
  </sheetViews>
  <sheetFormatPr defaultRowHeight="15" x14ac:dyDescent="0.25"/>
  <cols>
    <col min="1" max="1" width="13.140625" bestFit="1" customWidth="1"/>
    <col min="2" max="2" width="20.5703125" bestFit="1" customWidth="1"/>
    <col min="3" max="3" width="19.5703125" bestFit="1" customWidth="1"/>
    <col min="4" max="4" width="20.5703125" bestFit="1" customWidth="1"/>
    <col min="5" max="5" width="28.140625" bestFit="1" customWidth="1"/>
  </cols>
  <sheetData>
    <row r="4" spans="1:2" x14ac:dyDescent="0.25">
      <c r="A4" s="1" t="s">
        <v>88</v>
      </c>
      <c r="B4" t="s">
        <v>102</v>
      </c>
    </row>
    <row r="5" spans="1:2" x14ac:dyDescent="0.25">
      <c r="A5" s="2">
        <v>1990</v>
      </c>
      <c r="B5">
        <v>4</v>
      </c>
    </row>
    <row r="6" spans="1:2" x14ac:dyDescent="0.25">
      <c r="A6" s="2">
        <v>1991</v>
      </c>
      <c r="B6">
        <v>4</v>
      </c>
    </row>
    <row r="7" spans="1:2" x14ac:dyDescent="0.25">
      <c r="A7" s="2">
        <v>1992</v>
      </c>
      <c r="B7">
        <v>4</v>
      </c>
    </row>
    <row r="8" spans="1:2" x14ac:dyDescent="0.25">
      <c r="A8" s="2">
        <v>1993</v>
      </c>
      <c r="B8">
        <v>4</v>
      </c>
    </row>
    <row r="9" spans="1:2" x14ac:dyDescent="0.25">
      <c r="A9" s="2">
        <v>1994</v>
      </c>
      <c r="B9">
        <v>4</v>
      </c>
    </row>
    <row r="10" spans="1:2" x14ac:dyDescent="0.25">
      <c r="A10" s="2">
        <v>1995</v>
      </c>
      <c r="B10">
        <v>4</v>
      </c>
    </row>
    <row r="11" spans="1:2" x14ac:dyDescent="0.25">
      <c r="A11" s="2">
        <v>1996</v>
      </c>
      <c r="B11">
        <v>4</v>
      </c>
    </row>
    <row r="12" spans="1:2" x14ac:dyDescent="0.25">
      <c r="A12" s="2">
        <v>1997</v>
      </c>
      <c r="B12">
        <v>4</v>
      </c>
    </row>
    <row r="13" spans="1:2" x14ac:dyDescent="0.25">
      <c r="A13" s="2">
        <v>1998</v>
      </c>
      <c r="B13">
        <v>4</v>
      </c>
    </row>
    <row r="14" spans="1:2" x14ac:dyDescent="0.25">
      <c r="A14" s="2">
        <v>1999</v>
      </c>
      <c r="B14">
        <v>4</v>
      </c>
    </row>
    <row r="15" spans="1:2" x14ac:dyDescent="0.25">
      <c r="A15" s="2">
        <v>2000</v>
      </c>
      <c r="B15">
        <v>3</v>
      </c>
    </row>
    <row r="16" spans="1:2" x14ac:dyDescent="0.25">
      <c r="A16" s="2">
        <v>2001</v>
      </c>
      <c r="B16">
        <v>4</v>
      </c>
    </row>
    <row r="17" spans="1:2" x14ac:dyDescent="0.25">
      <c r="A17" s="2">
        <v>2002</v>
      </c>
      <c r="B17">
        <v>4</v>
      </c>
    </row>
    <row r="18" spans="1:2" x14ac:dyDescent="0.25">
      <c r="A18" s="2">
        <v>2003</v>
      </c>
      <c r="B18">
        <v>4</v>
      </c>
    </row>
    <row r="19" spans="1:2" x14ac:dyDescent="0.25">
      <c r="A19" s="2">
        <v>2004</v>
      </c>
      <c r="B19">
        <v>4</v>
      </c>
    </row>
    <row r="20" spans="1:2" x14ac:dyDescent="0.25">
      <c r="A20" s="2">
        <v>2005</v>
      </c>
      <c r="B20">
        <v>4</v>
      </c>
    </row>
    <row r="21" spans="1:2" x14ac:dyDescent="0.25">
      <c r="A21" s="2">
        <v>2006</v>
      </c>
      <c r="B21">
        <v>3</v>
      </c>
    </row>
    <row r="22" spans="1:2" x14ac:dyDescent="0.25">
      <c r="A22" s="2">
        <v>2007</v>
      </c>
      <c r="B22">
        <v>3</v>
      </c>
    </row>
    <row r="23" spans="1:2" x14ac:dyDescent="0.25">
      <c r="A23" s="2">
        <v>2008</v>
      </c>
      <c r="B23">
        <v>3</v>
      </c>
    </row>
    <row r="24" spans="1:2" x14ac:dyDescent="0.25">
      <c r="A24" s="2">
        <v>2009</v>
      </c>
      <c r="B24">
        <v>3</v>
      </c>
    </row>
    <row r="25" spans="1:2" x14ac:dyDescent="0.25">
      <c r="A25" s="2">
        <v>2010</v>
      </c>
      <c r="B25">
        <v>3</v>
      </c>
    </row>
    <row r="26" spans="1:2" x14ac:dyDescent="0.25">
      <c r="A26" s="2">
        <v>2011</v>
      </c>
      <c r="B26">
        <v>3</v>
      </c>
    </row>
    <row r="27" spans="1:2" x14ac:dyDescent="0.25">
      <c r="A27" s="2">
        <v>2012</v>
      </c>
      <c r="B27">
        <v>3</v>
      </c>
    </row>
    <row r="28" spans="1:2" x14ac:dyDescent="0.25">
      <c r="A28" s="2">
        <v>2013</v>
      </c>
      <c r="B28">
        <v>3</v>
      </c>
    </row>
    <row r="29" spans="1:2" x14ac:dyDescent="0.25">
      <c r="A29" s="2">
        <v>2014</v>
      </c>
      <c r="B29">
        <v>3</v>
      </c>
    </row>
    <row r="30" spans="1:2" x14ac:dyDescent="0.25">
      <c r="A30" s="2">
        <v>2015</v>
      </c>
      <c r="B30">
        <v>3</v>
      </c>
    </row>
    <row r="31" spans="1:2" x14ac:dyDescent="0.25">
      <c r="A31" s="2">
        <v>2016</v>
      </c>
      <c r="B31">
        <v>3</v>
      </c>
    </row>
    <row r="32" spans="1:2" x14ac:dyDescent="0.25">
      <c r="A32" s="2">
        <v>2017</v>
      </c>
      <c r="B32">
        <v>3</v>
      </c>
    </row>
    <row r="33" spans="1:2" x14ac:dyDescent="0.25">
      <c r="A33" s="2" t="s">
        <v>89</v>
      </c>
      <c r="B33">
        <v>99</v>
      </c>
    </row>
  </sheetData>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0C7BD-686A-4254-A1A7-9377C004103F}">
  <sheetPr codeName="Sheet7"/>
  <dimension ref="A2:C33"/>
  <sheetViews>
    <sheetView topLeftCell="B2" workbookViewId="0">
      <selection activeCell="AC28" sqref="AC28"/>
    </sheetView>
  </sheetViews>
  <sheetFormatPr defaultRowHeight="15" x14ac:dyDescent="0.25"/>
  <cols>
    <col min="1" max="1" width="13.140625" bestFit="1" customWidth="1"/>
    <col min="2" max="2" width="15" bestFit="1" customWidth="1"/>
    <col min="3" max="3" width="26.42578125" bestFit="1" customWidth="1"/>
    <col min="4" max="4" width="20.5703125" bestFit="1" customWidth="1"/>
    <col min="5" max="5" width="28.140625" bestFit="1" customWidth="1"/>
  </cols>
  <sheetData>
    <row r="2" spans="1:3" x14ac:dyDescent="0.25">
      <c r="A2" s="1" t="s">
        <v>6</v>
      </c>
      <c r="B2" t="s">
        <v>91</v>
      </c>
    </row>
    <row r="4" spans="1:3" x14ac:dyDescent="0.25">
      <c r="A4" s="1" t="s">
        <v>88</v>
      </c>
      <c r="B4" t="s">
        <v>90</v>
      </c>
      <c r="C4" t="s">
        <v>92</v>
      </c>
    </row>
    <row r="5" spans="1:3" x14ac:dyDescent="0.25">
      <c r="A5" s="2">
        <v>1990</v>
      </c>
      <c r="B5" s="3">
        <v>2752.6388160000001</v>
      </c>
      <c r="C5">
        <v>1598.561391</v>
      </c>
    </row>
    <row r="6" spans="1:3" x14ac:dyDescent="0.25">
      <c r="A6" s="2">
        <v>1991</v>
      </c>
      <c r="B6" s="3">
        <v>2567.9918459999999</v>
      </c>
      <c r="C6">
        <v>1601.775592</v>
      </c>
    </row>
    <row r="7" spans="1:3" x14ac:dyDescent="0.25">
      <c r="A7" s="2">
        <v>1992</v>
      </c>
      <c r="B7" s="3">
        <v>2412.5642710000002</v>
      </c>
      <c r="C7">
        <v>1521.1414110000001</v>
      </c>
    </row>
    <row r="8" spans="1:3" x14ac:dyDescent="0.25">
      <c r="A8" s="2">
        <v>1993</v>
      </c>
      <c r="B8" s="3">
        <v>2522.8891049999997</v>
      </c>
      <c r="C8">
        <v>1554.792661</v>
      </c>
    </row>
    <row r="9" spans="1:3" x14ac:dyDescent="0.25">
      <c r="A9" s="2">
        <v>1994</v>
      </c>
      <c r="B9" s="3">
        <v>2617.4766629999995</v>
      </c>
      <c r="C9">
        <v>1637.6984870000001</v>
      </c>
    </row>
    <row r="10" spans="1:3" x14ac:dyDescent="0.25">
      <c r="A10" s="2">
        <v>1995</v>
      </c>
      <c r="B10" s="3">
        <v>2758.6883180000004</v>
      </c>
      <c r="C10">
        <v>1546.2518380000001</v>
      </c>
    </row>
    <row r="11" spans="1:3" x14ac:dyDescent="0.25">
      <c r="A11" s="2">
        <v>1996</v>
      </c>
      <c r="B11" s="3">
        <v>3370.7979190000001</v>
      </c>
      <c r="C11">
        <v>1583.8602980000001</v>
      </c>
    </row>
    <row r="12" spans="1:3" x14ac:dyDescent="0.25">
      <c r="A12" s="2">
        <v>1997</v>
      </c>
      <c r="B12" s="3">
        <v>3394.1751439999998</v>
      </c>
      <c r="C12">
        <v>1584.5835850000001</v>
      </c>
    </row>
    <row r="13" spans="1:3" x14ac:dyDescent="0.25">
      <c r="A13" s="2">
        <v>1998</v>
      </c>
      <c r="B13" s="3">
        <v>3350.6687299999999</v>
      </c>
      <c r="C13">
        <v>1773.5312250000002</v>
      </c>
    </row>
    <row r="14" spans="1:3" x14ac:dyDescent="0.25">
      <c r="A14" s="2">
        <v>1999</v>
      </c>
      <c r="B14" s="3">
        <v>3336.518916</v>
      </c>
      <c r="C14">
        <v>1846.3046189999998</v>
      </c>
    </row>
    <row r="15" spans="1:3" x14ac:dyDescent="0.25">
      <c r="A15" s="2">
        <v>2000</v>
      </c>
      <c r="B15" s="3">
        <v>3433.7945420000001</v>
      </c>
      <c r="C15">
        <v>1823.403478</v>
      </c>
    </row>
    <row r="16" spans="1:3" x14ac:dyDescent="0.25">
      <c r="A16" s="2">
        <v>2001</v>
      </c>
      <c r="B16" s="3">
        <v>3241.050718</v>
      </c>
      <c r="C16">
        <v>1737.212239</v>
      </c>
    </row>
    <row r="17" spans="1:3" x14ac:dyDescent="0.25">
      <c r="A17" s="2">
        <v>2002</v>
      </c>
      <c r="B17" s="3">
        <v>2975.120813</v>
      </c>
      <c r="C17">
        <v>1840.3288009999999</v>
      </c>
    </row>
    <row r="18" spans="1:3" x14ac:dyDescent="0.25">
      <c r="A18" s="2">
        <v>2003</v>
      </c>
      <c r="B18" s="3">
        <v>2908.3621949999997</v>
      </c>
      <c r="C18">
        <v>1895.9894530000001</v>
      </c>
    </row>
    <row r="19" spans="1:3" x14ac:dyDescent="0.25">
      <c r="A19" s="2">
        <v>2004</v>
      </c>
      <c r="B19" s="3">
        <v>3494.965209</v>
      </c>
      <c r="C19">
        <v>2028.153444</v>
      </c>
    </row>
    <row r="20" spans="1:3" x14ac:dyDescent="0.25">
      <c r="A20" s="2">
        <v>2005</v>
      </c>
      <c r="B20" s="3">
        <v>3192.3687150000001</v>
      </c>
      <c r="C20">
        <v>1961.241297</v>
      </c>
    </row>
    <row r="21" spans="1:3" x14ac:dyDescent="0.25">
      <c r="A21" s="2">
        <v>2006</v>
      </c>
      <c r="B21" s="3">
        <v>3238.4212389999998</v>
      </c>
      <c r="C21">
        <v>1955.2272400000002</v>
      </c>
    </row>
    <row r="22" spans="1:3" x14ac:dyDescent="0.25">
      <c r="A22" s="2">
        <v>2007</v>
      </c>
      <c r="B22" s="3">
        <v>3030.615605</v>
      </c>
      <c r="C22">
        <v>1938.9374539999999</v>
      </c>
    </row>
    <row r="23" spans="1:3" x14ac:dyDescent="0.25">
      <c r="A23" s="2">
        <v>2008</v>
      </c>
      <c r="B23" s="3">
        <v>3165.1528269999999</v>
      </c>
      <c r="C23">
        <v>1932.429862</v>
      </c>
    </row>
    <row r="24" spans="1:3" x14ac:dyDescent="0.25">
      <c r="A24" s="2">
        <v>2009</v>
      </c>
      <c r="B24" s="3">
        <v>2987.5961950000001</v>
      </c>
      <c r="C24">
        <v>1892.6883589999998</v>
      </c>
    </row>
    <row r="25" spans="1:3" x14ac:dyDescent="0.25">
      <c r="A25" s="2">
        <v>2010</v>
      </c>
      <c r="B25" s="3">
        <v>3134.8668109999999</v>
      </c>
      <c r="C25">
        <v>1955.0019979999997</v>
      </c>
    </row>
    <row r="26" spans="1:3" x14ac:dyDescent="0.25">
      <c r="A26" s="2">
        <v>2011</v>
      </c>
      <c r="B26" s="3">
        <v>3208.7534029999997</v>
      </c>
      <c r="C26">
        <v>1969.066129</v>
      </c>
    </row>
    <row r="27" spans="1:3" x14ac:dyDescent="0.25">
      <c r="A27" s="2">
        <v>2012</v>
      </c>
      <c r="B27" s="3">
        <v>3310.3829960000003</v>
      </c>
      <c r="C27">
        <v>1962.4488000000001</v>
      </c>
    </row>
    <row r="28" spans="1:3" x14ac:dyDescent="0.25">
      <c r="A28" s="2">
        <v>2013</v>
      </c>
      <c r="B28" s="3">
        <v>3367.4796919999999</v>
      </c>
      <c r="C28">
        <v>2000.9124650000001</v>
      </c>
    </row>
    <row r="29" spans="1:3" x14ac:dyDescent="0.25">
      <c r="A29" s="2">
        <v>2014</v>
      </c>
      <c r="B29" s="3">
        <v>3462.7773159999997</v>
      </c>
      <c r="C29">
        <v>1804.8762320000001</v>
      </c>
    </row>
    <row r="30" spans="1:3" x14ac:dyDescent="0.25">
      <c r="A30" s="2">
        <v>2015</v>
      </c>
      <c r="B30" s="3">
        <v>3400.7663579999999</v>
      </c>
      <c r="C30">
        <v>1821.3073909999998</v>
      </c>
    </row>
    <row r="31" spans="1:3" x14ac:dyDescent="0.25">
      <c r="A31" s="2">
        <v>2016</v>
      </c>
      <c r="B31" s="3">
        <v>3555.8116499999996</v>
      </c>
      <c r="C31">
        <v>1893.954772</v>
      </c>
    </row>
    <row r="32" spans="1:3" x14ac:dyDescent="0.25">
      <c r="A32" s="2">
        <v>2017</v>
      </c>
      <c r="B32" s="3">
        <v>3438.0038800000002</v>
      </c>
      <c r="C32">
        <v>1923.9149609999999</v>
      </c>
    </row>
    <row r="33" spans="1:3" x14ac:dyDescent="0.25">
      <c r="A33" s="2" t="s">
        <v>89</v>
      </c>
      <c r="B33" s="3">
        <v>87630.69989199999</v>
      </c>
      <c r="C33">
        <v>50585.595482000004</v>
      </c>
    </row>
  </sheetData>
  <pageMargins left="0.7" right="0.7" top="0.75" bottom="0.75" header="0.3" footer="0.3"/>
  <pageSetup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E2294-7560-4559-AE64-E7D4A56DBA17}">
  <dimension ref="A1:V31"/>
  <sheetViews>
    <sheetView workbookViewId="0">
      <selection activeCell="R13" sqref="R13"/>
    </sheetView>
  </sheetViews>
  <sheetFormatPr defaultRowHeight="15" x14ac:dyDescent="0.25"/>
  <cols>
    <col min="1" max="1" width="0.42578125" style="28" customWidth="1"/>
    <col min="2" max="2" width="2.7109375" style="28" customWidth="1"/>
    <col min="3" max="5" width="7.42578125" style="28" customWidth="1"/>
    <col min="6" max="6" width="17.7109375" style="28" customWidth="1"/>
    <col min="7" max="7" width="25" style="28" customWidth="1"/>
    <col min="8" max="9" width="9.140625" style="28"/>
    <col min="10" max="12" width="7.42578125" style="28" customWidth="1"/>
    <col min="13" max="13" width="10.42578125" style="28" customWidth="1"/>
    <col min="14" max="15" width="7.42578125" style="28" customWidth="1"/>
    <col min="16" max="16" width="3.7109375" style="28" customWidth="1"/>
    <col min="17" max="17" width="2.42578125" style="28" customWidth="1"/>
    <col min="18" max="18" width="24.85546875" customWidth="1"/>
    <col min="19" max="19" width="13.7109375" customWidth="1"/>
    <col min="20" max="20" width="9.5703125" bestFit="1" customWidth="1"/>
  </cols>
  <sheetData>
    <row r="1" spans="1:22" x14ac:dyDescent="0.25">
      <c r="A1" s="79"/>
      <c r="B1" s="80"/>
      <c r="C1" s="80"/>
      <c r="D1" s="80"/>
      <c r="E1" s="80"/>
      <c r="F1" s="80"/>
      <c r="G1" s="80"/>
      <c r="H1" s="80"/>
      <c r="I1" s="80"/>
      <c r="J1" s="80"/>
      <c r="K1" s="80"/>
      <c r="L1" s="80"/>
      <c r="M1" s="80"/>
      <c r="N1" s="80"/>
      <c r="O1" s="80"/>
      <c r="P1" s="80"/>
      <c r="Q1" s="80"/>
      <c r="R1" s="342" t="s">
        <v>221</v>
      </c>
      <c r="S1" s="58"/>
      <c r="T1" s="58"/>
      <c r="U1" s="58"/>
      <c r="V1" s="59"/>
    </row>
    <row r="2" spans="1:22" ht="19.5" thickBot="1" x14ac:dyDescent="0.3">
      <c r="A2" s="81"/>
      <c r="B2" s="388"/>
      <c r="C2" s="389"/>
      <c r="D2" s="389"/>
      <c r="E2" s="389"/>
      <c r="F2" s="389"/>
      <c r="G2" s="389"/>
      <c r="H2" s="389"/>
      <c r="I2" s="389"/>
      <c r="J2" s="389"/>
      <c r="K2" s="389"/>
      <c r="L2" s="389"/>
      <c r="M2" s="389"/>
      <c r="N2" s="389"/>
      <c r="O2" s="389"/>
      <c r="P2" s="390"/>
      <c r="Q2" s="275"/>
      <c r="R2" s="343"/>
      <c r="V2" s="60"/>
    </row>
    <row r="3" spans="1:22" x14ac:dyDescent="0.25">
      <c r="A3" s="81"/>
      <c r="B3" s="341" t="s">
        <v>177</v>
      </c>
      <c r="C3" s="341"/>
      <c r="D3" s="341"/>
      <c r="E3" s="341"/>
      <c r="F3" s="341"/>
      <c r="G3" s="391"/>
      <c r="H3" s="391"/>
      <c r="I3" s="391"/>
      <c r="J3" s="391"/>
      <c r="K3" s="391"/>
      <c r="L3" s="177"/>
      <c r="M3" s="177"/>
      <c r="N3" s="177"/>
      <c r="O3" s="180"/>
      <c r="P3" s="178" t="s">
        <v>178</v>
      </c>
      <c r="Q3" s="275"/>
      <c r="R3" s="268" t="s">
        <v>171</v>
      </c>
      <c r="S3" s="78">
        <v>0.1</v>
      </c>
      <c r="V3" s="60"/>
    </row>
    <row r="4" spans="1:22" x14ac:dyDescent="0.25">
      <c r="A4" s="81"/>
      <c r="B4" s="392">
        <f ca="1">TODAY()</f>
        <v>43497</v>
      </c>
      <c r="C4" s="392"/>
      <c r="D4" s="392"/>
      <c r="E4" s="392"/>
      <c r="F4" s="392"/>
      <c r="G4" s="393"/>
      <c r="H4" s="393"/>
      <c r="I4" s="393"/>
      <c r="J4" s="393"/>
      <c r="K4" s="393"/>
      <c r="L4" s="83"/>
      <c r="M4" s="83"/>
      <c r="N4" s="83"/>
      <c r="O4" s="83"/>
      <c r="P4" s="84" t="str">
        <f xml:space="preserve"> sales_contact</f>
        <v>Tyler Locke</v>
      </c>
      <c r="Q4" s="275"/>
      <c r="R4" s="278" t="s">
        <v>80</v>
      </c>
      <c r="S4" s="276">
        <v>0</v>
      </c>
      <c r="T4" s="276">
        <v>1</v>
      </c>
      <c r="U4" s="276">
        <v>2</v>
      </c>
      <c r="V4" s="277">
        <v>3</v>
      </c>
    </row>
    <row r="5" spans="1:22" ht="15.75" thickBot="1" x14ac:dyDescent="0.3">
      <c r="A5" s="81"/>
      <c r="B5" s="261" t="s">
        <v>189</v>
      </c>
      <c r="C5" s="258"/>
      <c r="D5" s="258"/>
      <c r="E5" s="258"/>
      <c r="F5" s="258"/>
      <c r="G5" s="394"/>
      <c r="H5" s="394"/>
      <c r="I5" s="394"/>
      <c r="J5" s="394"/>
      <c r="K5" s="394"/>
      <c r="L5" s="259"/>
      <c r="M5" s="259"/>
      <c r="N5" s="259"/>
      <c r="O5" s="259"/>
      <c r="P5" s="260"/>
      <c r="Q5" s="275"/>
      <c r="R5" s="269"/>
      <c r="S5" s="270"/>
      <c r="T5" s="270"/>
      <c r="U5" s="270"/>
      <c r="V5" s="271"/>
    </row>
    <row r="6" spans="1:22" x14ac:dyDescent="0.25">
      <c r="A6" s="81"/>
      <c r="B6" s="395" t="str">
        <f>SpecUtilityData!B6</f>
        <v>Southern California Gas Company</v>
      </c>
      <c r="C6" s="396"/>
      <c r="D6" s="396"/>
      <c r="E6" s="396"/>
      <c r="F6" s="396"/>
      <c r="G6" s="397"/>
      <c r="H6" s="397"/>
      <c r="I6" s="397"/>
      <c r="J6" s="397"/>
      <c r="K6" s="397"/>
      <c r="L6" s="85"/>
      <c r="M6" s="86"/>
      <c r="N6" s="87"/>
      <c r="O6" s="88"/>
      <c r="P6" s="89"/>
      <c r="Q6" s="275"/>
      <c r="R6" s="272" t="s">
        <v>174</v>
      </c>
      <c r="S6" s="273">
        <f>-InstallationProposal.ProjectTotal</f>
        <v>-190820.67179999998</v>
      </c>
      <c r="T6" s="273">
        <f>SUM(G9:$G$10)</f>
        <v>211967.39954691718</v>
      </c>
      <c r="U6" s="273"/>
      <c r="V6" s="274"/>
    </row>
    <row r="7" spans="1:22" ht="15.75" thickBot="1" x14ac:dyDescent="0.3">
      <c r="A7" s="81"/>
      <c r="B7" s="399"/>
      <c r="C7" s="399"/>
      <c r="D7" s="399"/>
      <c r="E7" s="399"/>
      <c r="F7" s="399"/>
      <c r="G7" s="398"/>
      <c r="H7" s="398"/>
      <c r="I7" s="398"/>
      <c r="J7" s="398"/>
      <c r="K7" s="398"/>
      <c r="L7" s="279"/>
      <c r="M7" s="280"/>
      <c r="N7" s="90"/>
      <c r="O7" s="91"/>
      <c r="P7" s="92"/>
      <c r="Q7" s="275"/>
      <c r="R7" s="272" t="s">
        <v>175</v>
      </c>
      <c r="S7" s="273">
        <f>S6</f>
        <v>-190820.67179999998</v>
      </c>
      <c r="T7" s="273">
        <f>T6/(1+$S$3)^T4</f>
        <v>192697.63595174288</v>
      </c>
      <c r="U7" s="273">
        <f t="shared" ref="U7:V7" si="0">U6/(1+$S$3)^U4</f>
        <v>0</v>
      </c>
      <c r="V7" s="274">
        <f t="shared" si="0"/>
        <v>0</v>
      </c>
    </row>
    <row r="8" spans="1:22" x14ac:dyDescent="0.25">
      <c r="A8" s="81"/>
      <c r="B8" s="94"/>
      <c r="C8" s="95"/>
      <c r="D8" s="95"/>
      <c r="E8" s="379" t="s">
        <v>179</v>
      </c>
      <c r="F8" s="380"/>
      <c r="G8" s="381"/>
      <c r="H8" s="382" t="str">
        <f xml:space="preserve"> "Net Present Value" &amp; CHAR(10) &amp; " = " &amp;TEXT(S8, "$0,0")</f>
        <v>Net Present Value
 = $1,877</v>
      </c>
      <c r="I8" s="382"/>
      <c r="J8" s="382"/>
      <c r="K8" s="382"/>
      <c r="L8" s="382"/>
      <c r="M8" s="383"/>
      <c r="N8" s="95"/>
      <c r="O8" s="95"/>
      <c r="P8" s="93"/>
      <c r="Q8" s="275"/>
      <c r="R8" s="269" t="s">
        <v>176</v>
      </c>
      <c r="S8" s="281">
        <f>SUM(S7:V7)</f>
        <v>1876.9641517428972</v>
      </c>
      <c r="T8" s="282"/>
      <c r="U8" s="282"/>
      <c r="V8" s="283"/>
    </row>
    <row r="9" spans="1:22" ht="15.75" thickBot="1" x14ac:dyDescent="0.3">
      <c r="A9" s="81"/>
      <c r="B9" s="94"/>
      <c r="C9" s="95"/>
      <c r="D9" s="95"/>
      <c r="E9" s="252">
        <f>Efficiency_Project_Calcs!D20</f>
        <v>148243.79358288771</v>
      </c>
      <c r="F9" s="253" t="str">
        <f xml:space="preserve"> "KiloGallons valued at "</f>
        <v xml:space="preserve">KiloGallons valued at </v>
      </c>
      <c r="G9" s="254">
        <f>Efficiency_Project_Calcs!D20</f>
        <v>148243.79358288771</v>
      </c>
      <c r="H9" s="384"/>
      <c r="I9" s="384"/>
      <c r="J9" s="384"/>
      <c r="K9" s="384"/>
      <c r="L9" s="384"/>
      <c r="M9" s="385"/>
      <c r="N9" s="95"/>
      <c r="O9" s="95"/>
      <c r="P9" s="93"/>
      <c r="Q9" s="82"/>
      <c r="R9" s="284" t="s">
        <v>220</v>
      </c>
      <c r="S9" s="288">
        <f>IRR(S6:V6)</f>
        <v>0.11081989989575747</v>
      </c>
      <c r="T9" s="285"/>
      <c r="U9" s="285"/>
      <c r="V9" s="286"/>
    </row>
    <row r="10" spans="1:22" ht="15.75" thickBot="1" x14ac:dyDescent="0.3">
      <c r="A10" s="81"/>
      <c r="B10" s="94"/>
      <c r="C10" s="95"/>
      <c r="D10" s="95"/>
      <c r="E10" s="255">
        <f>Efficiency_Project_Calcs!E20</f>
        <v>63723.605964029477</v>
      </c>
      <c r="F10" s="256" t="str">
        <f>"Therms valued at "</f>
        <v xml:space="preserve">Therms valued at </v>
      </c>
      <c r="G10" s="257">
        <f>Efficiency_Project_Calcs!E20</f>
        <v>63723.605964029477</v>
      </c>
      <c r="H10" s="386"/>
      <c r="I10" s="386"/>
      <c r="J10" s="386"/>
      <c r="K10" s="386"/>
      <c r="L10" s="386"/>
      <c r="M10" s="387"/>
      <c r="N10" s="95"/>
      <c r="O10" s="179"/>
      <c r="P10" s="93"/>
      <c r="Q10" s="82"/>
      <c r="R10" s="290" t="str">
        <f xml:space="preserve"> "Simple Payback Period = "</f>
        <v xml:space="preserve">Simple Payback Period = </v>
      </c>
      <c r="S10" s="289">
        <f>N23/SUM(Efficiency_Project_Calcs!D20,Efficiency_Project_Calcs!E20)</f>
        <v>0.69942204375246431</v>
      </c>
    </row>
    <row r="11" spans="1:22" ht="30.75" thickBot="1" x14ac:dyDescent="0.3">
      <c r="A11" s="81"/>
      <c r="B11" s="94"/>
      <c r="C11" s="95"/>
      <c r="D11" s="95"/>
      <c r="E11" s="95"/>
      <c r="F11" s="95"/>
      <c r="G11" s="96"/>
      <c r="H11" s="96"/>
      <c r="I11" s="96"/>
      <c r="J11" s="96"/>
      <c r="K11" s="96"/>
      <c r="L11" s="31"/>
      <c r="M11" s="31"/>
      <c r="N11" s="31"/>
      <c r="O11" s="31"/>
      <c r="P11" s="93"/>
      <c r="Q11" s="82"/>
      <c r="R11" s="290" t="str">
        <f xml:space="preserve"> "Return on Investment (ROI) ="</f>
        <v>Return on Investment (ROI) =</v>
      </c>
      <c r="S11" s="287">
        <f>SUM(G9:G10)/N23</f>
        <v>1.4297519057805315</v>
      </c>
    </row>
    <row r="12" spans="1:22" ht="15.75" thickBot="1" x14ac:dyDescent="0.3">
      <c r="A12" s="81"/>
      <c r="B12" s="97" t="s">
        <v>180</v>
      </c>
      <c r="C12" s="367" t="s">
        <v>181</v>
      </c>
      <c r="D12" s="368"/>
      <c r="E12" s="368"/>
      <c r="F12" s="368"/>
      <c r="G12" s="369"/>
      <c r="H12" s="358" t="s">
        <v>182</v>
      </c>
      <c r="I12" s="358" t="s">
        <v>183</v>
      </c>
      <c r="J12" s="373" t="s">
        <v>184</v>
      </c>
      <c r="K12" s="375" t="s">
        <v>213</v>
      </c>
      <c r="L12" s="376"/>
      <c r="M12" s="358" t="s">
        <v>185</v>
      </c>
      <c r="N12" s="360" t="s">
        <v>214</v>
      </c>
      <c r="O12" s="361"/>
      <c r="P12" s="98"/>
      <c r="Q12" s="82"/>
    </row>
    <row r="13" spans="1:22" ht="15.75" thickBot="1" x14ac:dyDescent="0.3">
      <c r="A13" s="81"/>
      <c r="B13" s="97"/>
      <c r="C13" s="370"/>
      <c r="D13" s="371"/>
      <c r="E13" s="371"/>
      <c r="F13" s="371"/>
      <c r="G13" s="372"/>
      <c r="H13" s="359"/>
      <c r="I13" s="359"/>
      <c r="J13" s="374"/>
      <c r="K13" s="377"/>
      <c r="L13" s="378"/>
      <c r="M13" s="359"/>
      <c r="N13" s="362"/>
      <c r="O13" s="363"/>
      <c r="P13" s="99"/>
      <c r="Q13" s="82"/>
    </row>
    <row r="14" spans="1:22" ht="15.75" thickBot="1" x14ac:dyDescent="0.3">
      <c r="A14" s="81"/>
      <c r="B14" s="100"/>
      <c r="C14" s="364" t="s">
        <v>206</v>
      </c>
      <c r="D14" s="365"/>
      <c r="E14" s="365"/>
      <c r="F14" s="365"/>
      <c r="G14" s="366"/>
      <c r="H14" s="101">
        <f>Rates!S4</f>
        <v>30</v>
      </c>
      <c r="I14" s="101">
        <f>Rates!R4</f>
        <v>22</v>
      </c>
      <c r="J14" s="102">
        <f>Efficiency_Project_Calcs!B7</f>
        <v>1524</v>
      </c>
      <c r="K14" s="354">
        <f>(H14+I14)*J14</f>
        <v>79248</v>
      </c>
      <c r="L14" s="355"/>
      <c r="M14" s="103">
        <f>Sales_Tax*H14*J14</f>
        <v>3543.3</v>
      </c>
      <c r="N14" s="354">
        <f>SUM(K14:M14)</f>
        <v>82791.3</v>
      </c>
      <c r="O14" s="355"/>
      <c r="P14" s="104"/>
      <c r="Q14" s="82"/>
    </row>
    <row r="15" spans="1:22" ht="15.75" thickBot="1" x14ac:dyDescent="0.3">
      <c r="A15" s="81"/>
      <c r="B15" s="100"/>
      <c r="C15" s="351" t="s">
        <v>207</v>
      </c>
      <c r="D15" s="352"/>
      <c r="E15" s="352"/>
      <c r="F15" s="352"/>
      <c r="G15" s="353"/>
      <c r="H15" s="101">
        <f>Rates!S5</f>
        <v>46</v>
      </c>
      <c r="I15" s="101">
        <f>Rates!R5</f>
        <v>22</v>
      </c>
      <c r="J15" s="102">
        <f>Efficiency_Project_Calcs!B8</f>
        <v>218</v>
      </c>
      <c r="K15" s="354">
        <f t="shared" ref="K15:K18" si="1">(H15+I15)*J15</f>
        <v>14824</v>
      </c>
      <c r="L15" s="355"/>
      <c r="M15" s="103">
        <f>Sales_Tax*H15*J15</f>
        <v>777.17</v>
      </c>
      <c r="N15" s="354">
        <f t="shared" ref="N15:N17" si="2">SUM(K15:M15)</f>
        <v>15601.17</v>
      </c>
      <c r="O15" s="355"/>
      <c r="P15" s="104"/>
      <c r="Q15" s="82"/>
    </row>
    <row r="16" spans="1:22" ht="15.75" thickBot="1" x14ac:dyDescent="0.3">
      <c r="A16" s="81"/>
      <c r="B16" s="106"/>
      <c r="C16" s="351" t="s">
        <v>208</v>
      </c>
      <c r="D16" s="352"/>
      <c r="E16" s="352"/>
      <c r="F16" s="352"/>
      <c r="G16" s="353"/>
      <c r="H16" s="101">
        <f>Rates!S6</f>
        <v>78.61</v>
      </c>
      <c r="I16" s="101">
        <f>Rates!R6</f>
        <v>32</v>
      </c>
      <c r="J16" s="102">
        <f>Efficiency_Project_Calcs!B9</f>
        <v>764</v>
      </c>
      <c r="K16" s="354">
        <f t="shared" si="1"/>
        <v>84506.04</v>
      </c>
      <c r="L16" s="355"/>
      <c r="M16" s="103">
        <f>Sales_Tax*H16*J16</f>
        <v>4654.4980999999998</v>
      </c>
      <c r="N16" s="354">
        <f t="shared" si="2"/>
        <v>89160.538099999991</v>
      </c>
      <c r="O16" s="355"/>
      <c r="P16" s="104"/>
      <c r="Q16" s="82"/>
    </row>
    <row r="17" spans="1:17" ht="15.75" thickBot="1" x14ac:dyDescent="0.3">
      <c r="A17" s="81"/>
      <c r="B17" s="107"/>
      <c r="C17" s="351" t="s">
        <v>209</v>
      </c>
      <c r="D17" s="352"/>
      <c r="E17" s="352"/>
      <c r="F17" s="352"/>
      <c r="G17" s="353"/>
      <c r="H17" s="101">
        <f>Rates!S7</f>
        <v>78.61</v>
      </c>
      <c r="I17" s="101">
        <f>Rates!R7</f>
        <v>32</v>
      </c>
      <c r="J17" s="102">
        <f>Efficiency_Project_Calcs!B10</f>
        <v>28</v>
      </c>
      <c r="K17" s="354">
        <f>(H17+I17)*J17</f>
        <v>3097.08</v>
      </c>
      <c r="L17" s="355"/>
      <c r="M17" s="103">
        <f>Sales_Tax*H17*J17</f>
        <v>170.58369999999999</v>
      </c>
      <c r="N17" s="354">
        <f t="shared" si="2"/>
        <v>3267.6637000000001</v>
      </c>
      <c r="O17" s="355"/>
      <c r="P17" s="104"/>
      <c r="Q17" s="82"/>
    </row>
    <row r="18" spans="1:17" ht="15.75" thickBot="1" x14ac:dyDescent="0.3">
      <c r="A18" s="81"/>
      <c r="B18" s="107"/>
      <c r="C18" s="351" t="str">
        <f xml:space="preserve"> IF( AF7, Z7, "")</f>
        <v/>
      </c>
      <c r="D18" s="352"/>
      <c r="E18" s="352"/>
      <c r="F18" s="352"/>
      <c r="G18" s="353"/>
      <c r="H18" s="101"/>
      <c r="I18" s="101"/>
      <c r="J18" s="105">
        <f>U8</f>
        <v>0</v>
      </c>
      <c r="K18" s="354">
        <f t="shared" si="1"/>
        <v>0</v>
      </c>
      <c r="L18" s="355"/>
      <c r="M18" s="103">
        <f>Sales_Tax*H18*J18</f>
        <v>0</v>
      </c>
      <c r="N18" s="356"/>
      <c r="O18" s="357"/>
      <c r="P18" s="104"/>
      <c r="Q18" s="82"/>
    </row>
    <row r="19" spans="1:17" ht="15.75" thickBot="1" x14ac:dyDescent="0.3">
      <c r="A19" s="81"/>
      <c r="B19" s="109"/>
      <c r="C19" s="262"/>
      <c r="D19" s="263"/>
      <c r="E19" s="263"/>
      <c r="F19" s="263"/>
      <c r="G19" s="263"/>
      <c r="H19" s="263"/>
      <c r="I19" s="263"/>
      <c r="J19" s="263"/>
      <c r="K19" s="264"/>
      <c r="L19" s="265"/>
      <c r="M19" s="266" t="s">
        <v>186</v>
      </c>
      <c r="N19" s="344">
        <f>SUM(N14:N18)</f>
        <v>190820.67179999998</v>
      </c>
      <c r="O19" s="344"/>
      <c r="P19" s="108"/>
      <c r="Q19" s="82"/>
    </row>
    <row r="20" spans="1:17" ht="15.75" thickBot="1" x14ac:dyDescent="0.3">
      <c r="A20" s="81"/>
      <c r="B20" s="110"/>
      <c r="C20" s="111"/>
      <c r="D20" s="111"/>
      <c r="E20" s="111"/>
      <c r="F20" s="112"/>
      <c r="G20" s="113"/>
      <c r="H20" s="113"/>
      <c r="I20" s="113"/>
      <c r="J20" s="114"/>
      <c r="K20" s="115"/>
      <c r="L20" s="99"/>
      <c r="M20" s="116" t="s">
        <v>217</v>
      </c>
      <c r="N20" s="345">
        <f>Rates!V15</f>
        <v>9906</v>
      </c>
      <c r="O20" s="345"/>
      <c r="P20" s="108"/>
      <c r="Q20" s="82"/>
    </row>
    <row r="21" spans="1:17" ht="15.75" thickBot="1" x14ac:dyDescent="0.3">
      <c r="A21" s="81"/>
      <c r="B21" s="109"/>
      <c r="C21" s="111"/>
      <c r="D21" s="111"/>
      <c r="E21" s="111"/>
      <c r="F21" s="112"/>
      <c r="G21" s="113"/>
      <c r="H21" s="113"/>
      <c r="I21" s="113"/>
      <c r="J21" s="114"/>
      <c r="K21" s="115"/>
      <c r="L21" s="99"/>
      <c r="M21" s="116" t="s">
        <v>218</v>
      </c>
      <c r="N21" s="346">
        <f>Rates!W15</f>
        <v>16330</v>
      </c>
      <c r="O21" s="346"/>
      <c r="P21" s="108"/>
      <c r="Q21" s="82"/>
    </row>
    <row r="22" spans="1:17" ht="15.75" thickBot="1" x14ac:dyDescent="0.3">
      <c r="A22" s="81"/>
      <c r="B22" s="109"/>
      <c r="C22" s="111"/>
      <c r="D22" s="111"/>
      <c r="E22" s="111"/>
      <c r="F22" s="112"/>
      <c r="G22" s="113"/>
      <c r="H22" s="113"/>
      <c r="I22" s="113"/>
      <c r="J22" s="114"/>
      <c r="K22" s="115"/>
      <c r="L22" s="99"/>
      <c r="M22" s="117" t="s">
        <v>219</v>
      </c>
      <c r="N22" s="347">
        <f>Rates!X15</f>
        <v>16330</v>
      </c>
      <c r="O22" s="347"/>
      <c r="P22" s="108"/>
      <c r="Q22" s="82"/>
    </row>
    <row r="23" spans="1:17" ht="15.75" thickBot="1" x14ac:dyDescent="0.3">
      <c r="A23" s="81"/>
      <c r="B23" s="109"/>
      <c r="C23" s="267"/>
      <c r="D23" s="267"/>
      <c r="E23" s="267"/>
      <c r="F23" s="267"/>
      <c r="G23" s="267"/>
      <c r="H23" s="267"/>
      <c r="I23" s="267"/>
      <c r="J23" s="267"/>
      <c r="K23" s="267"/>
      <c r="L23" s="267"/>
      <c r="M23" s="266" t="s">
        <v>210</v>
      </c>
      <c r="N23" s="348">
        <f>InstallationProposal.ProjectTotal-N20-N21-N22</f>
        <v>148254.67179999998</v>
      </c>
      <c r="O23" s="348"/>
      <c r="P23" s="108"/>
      <c r="Q23" s="82"/>
    </row>
    <row r="24" spans="1:17" ht="15.75" thickBot="1" x14ac:dyDescent="0.3">
      <c r="A24" s="81"/>
      <c r="B24" s="109"/>
      <c r="C24" s="118"/>
      <c r="D24" s="112"/>
      <c r="E24" s="112"/>
      <c r="F24" s="112"/>
      <c r="G24" s="113"/>
      <c r="H24" s="113"/>
      <c r="I24" s="113"/>
      <c r="J24" s="114"/>
      <c r="K24" s="115"/>
      <c r="L24" s="92"/>
      <c r="M24" s="92"/>
      <c r="N24" s="92"/>
      <c r="O24" s="92"/>
      <c r="P24" s="119"/>
      <c r="Q24" s="82"/>
    </row>
    <row r="25" spans="1:17" x14ac:dyDescent="0.25">
      <c r="A25" s="81"/>
      <c r="B25" s="120"/>
      <c r="C25" s="349"/>
      <c r="D25" s="349"/>
      <c r="E25" s="349"/>
      <c r="F25" s="349"/>
      <c r="G25" s="349"/>
      <c r="H25" s="349"/>
      <c r="I25" s="349"/>
      <c r="J25" s="349"/>
      <c r="K25" s="349"/>
      <c r="L25" s="349"/>
      <c r="M25" s="349"/>
      <c r="N25" s="349"/>
      <c r="O25" s="350"/>
      <c r="P25" s="121"/>
      <c r="Q25" s="82"/>
    </row>
    <row r="26" spans="1:17" x14ac:dyDescent="0.25">
      <c r="A26" s="81"/>
      <c r="B26" s="338" t="s">
        <v>211</v>
      </c>
      <c r="C26" s="339"/>
      <c r="D26" s="339"/>
      <c r="E26" s="339"/>
      <c r="F26" s="339"/>
      <c r="G26" s="339"/>
      <c r="H26" s="339"/>
      <c r="I26" s="339"/>
      <c r="J26" s="339"/>
      <c r="K26" s="339"/>
      <c r="L26" s="339"/>
      <c r="M26" s="339"/>
      <c r="N26" s="339"/>
      <c r="O26" s="339"/>
      <c r="P26" s="340"/>
      <c r="Q26" s="82"/>
    </row>
    <row r="27" spans="1:17" x14ac:dyDescent="0.25">
      <c r="A27" s="81"/>
      <c r="B27" s="122"/>
      <c r="C27"/>
      <c r="D27" s="123"/>
      <c r="E27" s="123"/>
      <c r="F27" s="123"/>
      <c r="G27" s="123"/>
      <c r="H27" s="123"/>
      <c r="I27" s="123"/>
      <c r="J27" s="123"/>
      <c r="K27" s="123" t="str">
        <f xml:space="preserve"> sales_contact</f>
        <v>Tyler Locke</v>
      </c>
      <c r="L27" s="123"/>
      <c r="M27" s="123"/>
      <c r="N27" s="123"/>
      <c r="O27" s="123"/>
      <c r="P27" s="124"/>
      <c r="Q27" s="82"/>
    </row>
    <row r="28" spans="1:17" x14ac:dyDescent="0.25">
      <c r="A28" s="81"/>
      <c r="B28" s="125"/>
      <c r="C28" s="57"/>
      <c r="D28" s="57"/>
      <c r="E28" s="57"/>
      <c r="F28" s="57"/>
      <c r="G28" s="57"/>
      <c r="H28" s="128"/>
      <c r="I28" s="128"/>
      <c r="J28" s="128"/>
      <c r="K28" s="129" t="s">
        <v>187</v>
      </c>
      <c r="L28" s="126"/>
      <c r="M28" s="126"/>
      <c r="N28" s="126"/>
      <c r="O28" s="127"/>
      <c r="P28" s="130"/>
      <c r="Q28" s="82"/>
    </row>
    <row r="29" spans="1:17" x14ac:dyDescent="0.25">
      <c r="A29" s="81"/>
      <c r="B29" s="122"/>
      <c r="C29" s="57"/>
      <c r="D29" s="57"/>
      <c r="E29" s="57"/>
      <c r="F29" s="57"/>
      <c r="G29" s="57"/>
      <c r="H29" s="123"/>
      <c r="I29" s="123"/>
      <c r="J29" s="123"/>
      <c r="K29" s="123" t="s">
        <v>212</v>
      </c>
      <c r="L29" s="123"/>
      <c r="M29" s="123"/>
      <c r="N29" s="123"/>
      <c r="O29" s="123"/>
      <c r="P29" s="131"/>
      <c r="Q29" s="82"/>
    </row>
    <row r="30" spans="1:17" x14ac:dyDescent="0.25">
      <c r="A30" s="81"/>
      <c r="B30" s="125"/>
      <c r="C30" s="57"/>
      <c r="D30" s="57"/>
      <c r="E30" s="57"/>
      <c r="F30" s="57"/>
      <c r="G30" s="57"/>
      <c r="H30" s="128"/>
      <c r="I30" s="128"/>
      <c r="J30" s="128"/>
      <c r="K30" s="126" t="s">
        <v>188</v>
      </c>
      <c r="L30" s="126"/>
      <c r="M30" s="126"/>
      <c r="N30" s="126"/>
      <c r="O30" s="127"/>
      <c r="P30" s="130"/>
      <c r="Q30" s="82"/>
    </row>
    <row r="31" spans="1:17" ht="15.75" thickBot="1" x14ac:dyDescent="0.3">
      <c r="A31" s="132"/>
      <c r="B31" s="133"/>
      <c r="C31" s="133"/>
      <c r="D31" s="133"/>
      <c r="E31" s="133"/>
      <c r="F31" s="133"/>
      <c r="G31" s="133"/>
      <c r="H31" s="133"/>
      <c r="I31" s="133"/>
      <c r="J31" s="133"/>
      <c r="K31" s="133"/>
      <c r="L31" s="133"/>
      <c r="M31" s="133"/>
      <c r="N31" s="133"/>
      <c r="O31" s="133"/>
      <c r="P31" s="133"/>
      <c r="Q31" s="134"/>
    </row>
  </sheetData>
  <mergeCells count="41">
    <mergeCell ref="E8:G8"/>
    <mergeCell ref="H8:M10"/>
    <mergeCell ref="B2:P2"/>
    <mergeCell ref="G3:K3"/>
    <mergeCell ref="B4:F4"/>
    <mergeCell ref="G4:K4"/>
    <mergeCell ref="G5:K5"/>
    <mergeCell ref="B6:F6"/>
    <mergeCell ref="G6:K7"/>
    <mergeCell ref="B7:F7"/>
    <mergeCell ref="K17:L17"/>
    <mergeCell ref="N17:O17"/>
    <mergeCell ref="M12:M13"/>
    <mergeCell ref="N12:O13"/>
    <mergeCell ref="C14:G14"/>
    <mergeCell ref="K14:L14"/>
    <mergeCell ref="N14:O14"/>
    <mergeCell ref="C15:G15"/>
    <mergeCell ref="K15:L15"/>
    <mergeCell ref="N15:O15"/>
    <mergeCell ref="C12:G13"/>
    <mergeCell ref="H12:H13"/>
    <mergeCell ref="I12:I13"/>
    <mergeCell ref="J12:J13"/>
    <mergeCell ref="K12:L13"/>
    <mergeCell ref="B26:P26"/>
    <mergeCell ref="B3:F3"/>
    <mergeCell ref="R1:R2"/>
    <mergeCell ref="N19:O19"/>
    <mergeCell ref="N20:O20"/>
    <mergeCell ref="N21:O21"/>
    <mergeCell ref="N22:O22"/>
    <mergeCell ref="N23:O23"/>
    <mergeCell ref="C25:O25"/>
    <mergeCell ref="C18:G18"/>
    <mergeCell ref="K18:L18"/>
    <mergeCell ref="N18:O18"/>
    <mergeCell ref="C16:G16"/>
    <mergeCell ref="K16:L16"/>
    <mergeCell ref="N16:O16"/>
    <mergeCell ref="C17:G17"/>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136CD-5BDC-40D0-AA76-292903F92EF0}">
  <sheetPr codeName="Sheet8"/>
  <dimension ref="A1:A75"/>
  <sheetViews>
    <sheetView workbookViewId="0">
      <selection activeCell="D14" sqref="D14"/>
    </sheetView>
  </sheetViews>
  <sheetFormatPr defaultRowHeight="15" x14ac:dyDescent="0.25"/>
  <cols>
    <col min="1" max="1" width="47.7109375" bestFit="1" customWidth="1"/>
  </cols>
  <sheetData>
    <row r="1" spans="1:1" x14ac:dyDescent="0.25">
      <c r="A1" s="5" t="s">
        <v>104</v>
      </c>
    </row>
    <row r="2" spans="1:1" x14ac:dyDescent="0.25">
      <c r="A2" t="s">
        <v>7</v>
      </c>
    </row>
    <row r="3" spans="1:1" x14ac:dyDescent="0.25">
      <c r="A3" t="s">
        <v>8</v>
      </c>
    </row>
    <row r="4" spans="1:1" x14ac:dyDescent="0.25">
      <c r="A4" t="s">
        <v>9</v>
      </c>
    </row>
    <row r="5" spans="1:1" x14ac:dyDescent="0.25">
      <c r="A5" t="s">
        <v>68</v>
      </c>
    </row>
    <row r="6" spans="1:1" x14ac:dyDescent="0.25">
      <c r="A6" t="s">
        <v>52</v>
      </c>
    </row>
    <row r="7" spans="1:1" x14ac:dyDescent="0.25">
      <c r="A7" t="s">
        <v>10</v>
      </c>
    </row>
    <row r="8" spans="1:1" x14ac:dyDescent="0.25">
      <c r="A8" t="s">
        <v>11</v>
      </c>
    </row>
    <row r="9" spans="1:1" x14ac:dyDescent="0.25">
      <c r="A9" t="s">
        <v>69</v>
      </c>
    </row>
    <row r="10" spans="1:1" x14ac:dyDescent="0.25">
      <c r="A10" t="s">
        <v>12</v>
      </c>
    </row>
    <row r="11" spans="1:1" x14ac:dyDescent="0.25">
      <c r="A11" t="s">
        <v>70</v>
      </c>
    </row>
    <row r="12" spans="1:1" x14ac:dyDescent="0.25">
      <c r="A12" t="s">
        <v>13</v>
      </c>
    </row>
    <row r="13" spans="1:1" x14ac:dyDescent="0.25">
      <c r="A13" t="s">
        <v>14</v>
      </c>
    </row>
    <row r="14" spans="1:1" x14ac:dyDescent="0.25">
      <c r="A14" t="s">
        <v>15</v>
      </c>
    </row>
    <row r="15" spans="1:1" x14ac:dyDescent="0.25">
      <c r="A15" t="s">
        <v>16</v>
      </c>
    </row>
    <row r="16" spans="1:1" x14ac:dyDescent="0.25">
      <c r="A16" t="s">
        <v>17</v>
      </c>
    </row>
    <row r="17" spans="1:1" x14ac:dyDescent="0.25">
      <c r="A17" t="s">
        <v>76</v>
      </c>
    </row>
    <row r="18" spans="1:1" x14ac:dyDescent="0.25">
      <c r="A18" t="s">
        <v>18</v>
      </c>
    </row>
    <row r="19" spans="1:1" x14ac:dyDescent="0.25">
      <c r="A19" t="s">
        <v>19</v>
      </c>
    </row>
    <row r="20" spans="1:1" x14ac:dyDescent="0.25">
      <c r="A20" t="s">
        <v>20</v>
      </c>
    </row>
    <row r="21" spans="1:1" x14ac:dyDescent="0.25">
      <c r="A21" t="s">
        <v>73</v>
      </c>
    </row>
    <row r="22" spans="1:1" x14ac:dyDescent="0.25">
      <c r="A22" t="s">
        <v>21</v>
      </c>
    </row>
    <row r="23" spans="1:1" x14ac:dyDescent="0.25">
      <c r="A23" t="s">
        <v>56</v>
      </c>
    </row>
    <row r="24" spans="1:1" x14ac:dyDescent="0.25">
      <c r="A24" t="s">
        <v>53</v>
      </c>
    </row>
    <row r="25" spans="1:1" x14ac:dyDescent="0.25">
      <c r="A25" t="s">
        <v>59</v>
      </c>
    </row>
    <row r="26" spans="1:1" x14ac:dyDescent="0.25">
      <c r="A26" t="s">
        <v>22</v>
      </c>
    </row>
    <row r="27" spans="1:1" x14ac:dyDescent="0.25">
      <c r="A27" t="s">
        <v>23</v>
      </c>
    </row>
    <row r="28" spans="1:1" x14ac:dyDescent="0.25">
      <c r="A28" t="s">
        <v>79</v>
      </c>
    </row>
    <row r="29" spans="1:1" x14ac:dyDescent="0.25">
      <c r="A29" t="s">
        <v>24</v>
      </c>
    </row>
    <row r="30" spans="1:1" x14ac:dyDescent="0.25">
      <c r="A30" t="s">
        <v>71</v>
      </c>
    </row>
    <row r="31" spans="1:1" x14ac:dyDescent="0.25">
      <c r="A31" t="s">
        <v>25</v>
      </c>
    </row>
    <row r="32" spans="1:1" x14ac:dyDescent="0.25">
      <c r="A32" t="s">
        <v>74</v>
      </c>
    </row>
    <row r="33" spans="1:1" x14ac:dyDescent="0.25">
      <c r="A33" t="s">
        <v>26</v>
      </c>
    </row>
    <row r="34" spans="1:1" x14ac:dyDescent="0.25">
      <c r="A34" t="s">
        <v>50</v>
      </c>
    </row>
    <row r="35" spans="1:1" x14ac:dyDescent="0.25">
      <c r="A35" t="s">
        <v>27</v>
      </c>
    </row>
    <row r="36" spans="1:1" x14ac:dyDescent="0.25">
      <c r="A36" t="s">
        <v>28</v>
      </c>
    </row>
    <row r="37" spans="1:1" x14ac:dyDescent="0.25">
      <c r="A37" t="s">
        <v>57</v>
      </c>
    </row>
    <row r="38" spans="1:1" x14ac:dyDescent="0.25">
      <c r="A38" t="s">
        <v>29</v>
      </c>
    </row>
    <row r="39" spans="1:1" x14ac:dyDescent="0.25">
      <c r="A39" t="s">
        <v>30</v>
      </c>
    </row>
    <row r="40" spans="1:1" x14ac:dyDescent="0.25">
      <c r="A40" t="s">
        <v>31</v>
      </c>
    </row>
    <row r="41" spans="1:1" x14ac:dyDescent="0.25">
      <c r="A41" t="s">
        <v>58</v>
      </c>
    </row>
    <row r="42" spans="1:1" x14ac:dyDescent="0.25">
      <c r="A42" t="s">
        <v>32</v>
      </c>
    </row>
    <row r="43" spans="1:1" x14ac:dyDescent="0.25">
      <c r="A43" t="s">
        <v>33</v>
      </c>
    </row>
    <row r="44" spans="1:1" x14ac:dyDescent="0.25">
      <c r="A44" t="s">
        <v>34</v>
      </c>
    </row>
    <row r="45" spans="1:1" x14ac:dyDescent="0.25">
      <c r="A45" t="s">
        <v>35</v>
      </c>
    </row>
    <row r="46" spans="1:1" x14ac:dyDescent="0.25">
      <c r="A46" t="s">
        <v>60</v>
      </c>
    </row>
    <row r="47" spans="1:1" x14ac:dyDescent="0.25">
      <c r="A47" t="s">
        <v>54</v>
      </c>
    </row>
    <row r="48" spans="1:1" x14ac:dyDescent="0.25">
      <c r="A48" t="s">
        <v>51</v>
      </c>
    </row>
    <row r="49" spans="1:1" x14ac:dyDescent="0.25">
      <c r="A49" t="s">
        <v>36</v>
      </c>
    </row>
    <row r="50" spans="1:1" x14ac:dyDescent="0.25">
      <c r="A50" t="s">
        <v>75</v>
      </c>
    </row>
    <row r="51" spans="1:1" x14ac:dyDescent="0.25">
      <c r="A51" t="s">
        <v>37</v>
      </c>
    </row>
    <row r="52" spans="1:1" x14ac:dyDescent="0.25">
      <c r="A52" t="s">
        <v>38</v>
      </c>
    </row>
    <row r="53" spans="1:1" x14ac:dyDescent="0.25">
      <c r="A53" t="s">
        <v>61</v>
      </c>
    </row>
    <row r="54" spans="1:1" x14ac:dyDescent="0.25">
      <c r="A54" t="s">
        <v>39</v>
      </c>
    </row>
    <row r="55" spans="1:1" x14ac:dyDescent="0.25">
      <c r="A55" t="s">
        <v>40</v>
      </c>
    </row>
    <row r="56" spans="1:1" x14ac:dyDescent="0.25">
      <c r="A56" t="s">
        <v>41</v>
      </c>
    </row>
    <row r="57" spans="1:1" x14ac:dyDescent="0.25">
      <c r="A57" t="s">
        <v>78</v>
      </c>
    </row>
    <row r="58" spans="1:1" x14ac:dyDescent="0.25">
      <c r="A58" t="s">
        <v>62</v>
      </c>
    </row>
    <row r="59" spans="1:1" x14ac:dyDescent="0.25">
      <c r="A59" t="s">
        <v>72</v>
      </c>
    </row>
    <row r="60" spans="1:1" x14ac:dyDescent="0.25">
      <c r="A60" t="s">
        <v>63</v>
      </c>
    </row>
    <row r="61" spans="1:1" x14ac:dyDescent="0.25">
      <c r="A61" t="s">
        <v>42</v>
      </c>
    </row>
    <row r="62" spans="1:1" x14ac:dyDescent="0.25">
      <c r="A62" t="s">
        <v>43</v>
      </c>
    </row>
    <row r="63" spans="1:1" x14ac:dyDescent="0.25">
      <c r="A63" t="s">
        <v>44</v>
      </c>
    </row>
    <row r="64" spans="1:1" x14ac:dyDescent="0.25">
      <c r="A64" t="s">
        <v>45</v>
      </c>
    </row>
    <row r="65" spans="1:1" x14ac:dyDescent="0.25">
      <c r="A65" t="s">
        <v>64</v>
      </c>
    </row>
    <row r="66" spans="1:1" x14ac:dyDescent="0.25">
      <c r="A66" t="s">
        <v>46</v>
      </c>
    </row>
    <row r="67" spans="1:1" x14ac:dyDescent="0.25">
      <c r="A67" t="s">
        <v>65</v>
      </c>
    </row>
    <row r="68" spans="1:1" x14ac:dyDescent="0.25">
      <c r="A68" t="s">
        <v>66</v>
      </c>
    </row>
    <row r="69" spans="1:1" x14ac:dyDescent="0.25">
      <c r="A69" t="s">
        <v>2</v>
      </c>
    </row>
    <row r="70" spans="1:1" x14ac:dyDescent="0.25">
      <c r="A70" t="s">
        <v>47</v>
      </c>
    </row>
    <row r="71" spans="1:1" x14ac:dyDescent="0.25">
      <c r="A71" t="s">
        <v>48</v>
      </c>
    </row>
    <row r="72" spans="1:1" x14ac:dyDescent="0.25">
      <c r="A72" t="s">
        <v>55</v>
      </c>
    </row>
    <row r="73" spans="1:1" x14ac:dyDescent="0.25">
      <c r="A73" t="s">
        <v>77</v>
      </c>
    </row>
    <row r="74" spans="1:1" x14ac:dyDescent="0.25">
      <c r="A74" t="s">
        <v>49</v>
      </c>
    </row>
    <row r="75" spans="1:1" x14ac:dyDescent="0.25">
      <c r="A75" t="s">
        <v>67</v>
      </c>
    </row>
  </sheetData>
  <sortState xmlns:xlrd2="http://schemas.microsoft.com/office/spreadsheetml/2017/richdata2" ref="A2:A75">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24</vt:i4>
      </vt:variant>
    </vt:vector>
  </HeadingPairs>
  <TitlesOfParts>
    <vt:vector size="36" baseType="lpstr">
      <vt:lpstr>START_HERE&gt;DASHBOARD</vt:lpstr>
      <vt:lpstr>Data</vt:lpstr>
      <vt:lpstr>SpecUtilityData</vt:lpstr>
      <vt:lpstr>Efficiency_Project_Calcs</vt:lpstr>
      <vt:lpstr>Rates</vt:lpstr>
      <vt:lpstr>PivotTable1</vt:lpstr>
      <vt:lpstr>PivotTable2</vt:lpstr>
      <vt:lpstr>PivotTable3</vt:lpstr>
      <vt:lpstr>PivotTable4</vt:lpstr>
      <vt:lpstr>TimeSeries</vt:lpstr>
      <vt:lpstr>Proposal</vt:lpstr>
      <vt:lpstr>Appendix A.&lt;dont disturb&gt;</vt:lpstr>
      <vt:lpstr>blah</vt:lpstr>
      <vt:lpstr>boiler_efficiency</vt:lpstr>
      <vt:lpstr>boiler_temp_out</vt:lpstr>
      <vt:lpstr>Discount_Rate</vt:lpstr>
      <vt:lpstr>Domestics.FixtureTypes</vt:lpstr>
      <vt:lpstr>Domestics.Table01_CountsBySurvey_Totals</vt:lpstr>
      <vt:lpstr>Domestics.Table01_FixtureType</vt:lpstr>
      <vt:lpstr>Domestics.Table02_CountsByTakeoff</vt:lpstr>
      <vt:lpstr>Domestics.Table04_AnnualUseBefore</vt:lpstr>
      <vt:lpstr>Domestics.Table05_AnnualUseAfter</vt:lpstr>
      <vt:lpstr>Domestics.Table06_AnnualSavingsKgal</vt:lpstr>
      <vt:lpstr>Domestics.Table07_AnnualSavingsTherms</vt:lpstr>
      <vt:lpstr>Domestics.Table08_AnnualSavingsThermDollars</vt:lpstr>
      <vt:lpstr>Domestics.Table09_AnnualSavingsKgalDollars</vt:lpstr>
      <vt:lpstr>Domestics.Table10_InstallationCost</vt:lpstr>
      <vt:lpstr>Domestics.TotalColumn</vt:lpstr>
      <vt:lpstr>incentive_therm</vt:lpstr>
      <vt:lpstr>InstallationProposal.ProjectTotal</vt:lpstr>
      <vt:lpstr>InstallProp.Include_in_Prop</vt:lpstr>
      <vt:lpstr>Sales_Tax</vt:lpstr>
      <vt:lpstr>SCG_estimate_of_therms_saved_annually</vt:lpstr>
      <vt:lpstr>therm_cost</vt:lpstr>
      <vt:lpstr>therm_factor</vt:lpstr>
      <vt:lpstr>water_sewer_rate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dc:creator>
  <cp:lastModifiedBy>ty</cp:lastModifiedBy>
  <dcterms:created xsi:type="dcterms:W3CDTF">2019-01-14T23:16:24Z</dcterms:created>
  <dcterms:modified xsi:type="dcterms:W3CDTF">2019-02-01T16:35:17Z</dcterms:modified>
</cp:coreProperties>
</file>